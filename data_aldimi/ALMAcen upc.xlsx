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8_{23775F42-B595-4C85-B89E-BBD22B6666A4}" xr6:coauthVersionLast="47" xr6:coauthVersionMax="47" xr10:uidLastSave="{00000000-0000-0000-0000-000000000000}"/>
  <bookViews>
    <workbookView xWindow="-108" yWindow="-108" windowWidth="23256" windowHeight="12456" tabRatio="610" activeTab="5" xr2:uid="{D2A5866D-CF86-4BE5-A827-2088274AF8CB}"/>
  </bookViews>
  <sheets>
    <sheet name="Existencias" sheetId="4" r:id="rId1"/>
    <sheet name="Hoja2" sheetId="8" r:id="rId2"/>
    <sheet name="Proveedores" sheetId="5" r:id="rId3"/>
    <sheet name="Entradas" sheetId="2" r:id="rId4"/>
    <sheet name="Salidas" sheetId="3" r:id="rId5"/>
    <sheet name="Clientes" sheetId="6" r:id="rId6"/>
  </sheets>
  <externalReferences>
    <externalReference r:id="rId7"/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0" i="2" l="1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6" i="2"/>
  <c r="F336" i="2"/>
  <c r="H336" i="2"/>
  <c r="I336" i="2" s="1"/>
  <c r="D337" i="2"/>
  <c r="F337" i="2"/>
  <c r="H337" i="2"/>
  <c r="I337" i="2" s="1"/>
  <c r="D338" i="2"/>
  <c r="F338" i="2"/>
  <c r="H338" i="2"/>
  <c r="I338" i="2" s="1"/>
  <c r="D339" i="2"/>
  <c r="F339" i="2"/>
  <c r="H339" i="2"/>
  <c r="I339" i="2" s="1"/>
  <c r="D340" i="2"/>
  <c r="F340" i="2"/>
  <c r="H340" i="2"/>
  <c r="I340" i="2" s="1"/>
  <c r="D341" i="2"/>
  <c r="F341" i="2"/>
  <c r="H341" i="2"/>
  <c r="I341" i="2" s="1"/>
  <c r="D342" i="2"/>
  <c r="F342" i="2"/>
  <c r="H342" i="2"/>
  <c r="I342" i="2" s="1"/>
  <c r="D343" i="2"/>
  <c r="F343" i="2"/>
  <c r="H343" i="2"/>
  <c r="I343" i="2" s="1"/>
  <c r="D344" i="2"/>
  <c r="F344" i="2"/>
  <c r="H344" i="2"/>
  <c r="I344" i="2" s="1"/>
  <c r="D345" i="2"/>
  <c r="F345" i="2"/>
  <c r="H345" i="2"/>
  <c r="I345" i="2" s="1"/>
  <c r="D346" i="2"/>
  <c r="F346" i="2"/>
  <c r="H346" i="2"/>
  <c r="I346" i="2" s="1"/>
  <c r="D347" i="2"/>
  <c r="F347" i="2"/>
  <c r="H347" i="2"/>
  <c r="I347" i="2" s="1"/>
  <c r="D348" i="2"/>
  <c r="F348" i="2"/>
  <c r="H348" i="2"/>
  <c r="I348" i="2" s="1"/>
  <c r="D349" i="2"/>
  <c r="F349" i="2"/>
  <c r="H349" i="2"/>
  <c r="I349" i="2" s="1"/>
  <c r="D350" i="2"/>
  <c r="F350" i="2"/>
  <c r="H350" i="2"/>
  <c r="I350" i="2" s="1"/>
  <c r="D351" i="2"/>
  <c r="F351" i="2"/>
  <c r="H351" i="2"/>
  <c r="I351" i="2" s="1"/>
  <c r="D352" i="2"/>
  <c r="F352" i="2"/>
  <c r="H352" i="2"/>
  <c r="I352" i="2" s="1"/>
  <c r="D353" i="2"/>
  <c r="F353" i="2"/>
  <c r="H353" i="2"/>
  <c r="I353" i="2" s="1"/>
  <c r="D354" i="2"/>
  <c r="F354" i="2"/>
  <c r="H354" i="2"/>
  <c r="I354" i="2" s="1"/>
  <c r="D355" i="2"/>
  <c r="F355" i="2"/>
  <c r="H355" i="2"/>
  <c r="I355" i="2" s="1"/>
  <c r="D356" i="2"/>
  <c r="F356" i="2"/>
  <c r="H356" i="2"/>
  <c r="I356" i="2" s="1"/>
  <c r="D357" i="2"/>
  <c r="F357" i="2"/>
  <c r="H357" i="2"/>
  <c r="I357" i="2" s="1"/>
  <c r="D358" i="2"/>
  <c r="F358" i="2"/>
  <c r="H358" i="2"/>
  <c r="I358" i="2" s="1"/>
  <c r="D359" i="2"/>
  <c r="F359" i="2"/>
  <c r="H359" i="2"/>
  <c r="I359" i="2" s="1"/>
  <c r="D360" i="2"/>
  <c r="F360" i="2"/>
  <c r="H360" i="2"/>
  <c r="I360" i="2" s="1"/>
  <c r="D361" i="2"/>
  <c r="F361" i="2"/>
  <c r="H361" i="2"/>
  <c r="I361" i="2" s="1"/>
  <c r="D362" i="2"/>
  <c r="F362" i="2"/>
  <c r="H362" i="2"/>
  <c r="I362" i="2" s="1"/>
  <c r="D363" i="2"/>
  <c r="F363" i="2"/>
  <c r="H363" i="2"/>
  <c r="I363" i="2" s="1"/>
  <c r="D364" i="2"/>
  <c r="F364" i="2"/>
  <c r="H364" i="2"/>
  <c r="I364" i="2" s="1"/>
  <c r="D365" i="2"/>
  <c r="F365" i="2"/>
  <c r="H365" i="2"/>
  <c r="I365" i="2" s="1"/>
  <c r="D366" i="2"/>
  <c r="F366" i="2"/>
  <c r="H366" i="2"/>
  <c r="I366" i="2" s="1"/>
  <c r="D367" i="2"/>
  <c r="F367" i="2"/>
  <c r="H367" i="2"/>
  <c r="I367" i="2" s="1"/>
  <c r="D368" i="2"/>
  <c r="F368" i="2"/>
  <c r="H368" i="2"/>
  <c r="I368" i="2" s="1"/>
  <c r="D468" i="3"/>
  <c r="F468" i="3"/>
  <c r="H468" i="3"/>
  <c r="D469" i="3"/>
  <c r="F469" i="3"/>
  <c r="H469" i="3"/>
  <c r="D470" i="3"/>
  <c r="F470" i="3"/>
  <c r="H470" i="3"/>
  <c r="D471" i="3"/>
  <c r="F471" i="3"/>
  <c r="H471" i="3"/>
  <c r="D472" i="3"/>
  <c r="F472" i="3"/>
  <c r="H472" i="3"/>
  <c r="D473" i="3"/>
  <c r="F473" i="3"/>
  <c r="H473" i="3"/>
  <c r="D474" i="3"/>
  <c r="F474" i="3"/>
  <c r="H474" i="3"/>
  <c r="D475" i="3"/>
  <c r="F475" i="3"/>
  <c r="H475" i="3"/>
  <c r="D476" i="3"/>
  <c r="F476" i="3"/>
  <c r="H476" i="3"/>
  <c r="D477" i="3"/>
  <c r="F477" i="3"/>
  <c r="H477" i="3"/>
  <c r="D478" i="3"/>
  <c r="F478" i="3"/>
  <c r="H478" i="3"/>
  <c r="D479" i="3"/>
  <c r="F479" i="3"/>
  <c r="H479" i="3"/>
  <c r="D480" i="3"/>
  <c r="F480" i="3"/>
  <c r="H480" i="3"/>
  <c r="D481" i="3"/>
  <c r="F481" i="3"/>
  <c r="H481" i="3"/>
  <c r="D482" i="3"/>
  <c r="F482" i="3"/>
  <c r="H482" i="3"/>
  <c r="D483" i="3"/>
  <c r="F483" i="3"/>
  <c r="H483" i="3"/>
  <c r="D484" i="3"/>
  <c r="F484" i="3"/>
  <c r="H484" i="3"/>
  <c r="D485" i="3"/>
  <c r="F485" i="3"/>
  <c r="H485" i="3"/>
  <c r="D486" i="3"/>
  <c r="F486" i="3"/>
  <c r="H486" i="3"/>
  <c r="D487" i="3"/>
  <c r="F487" i="3"/>
  <c r="H487" i="3"/>
  <c r="D488" i="3"/>
  <c r="F488" i="3"/>
  <c r="H488" i="3"/>
  <c r="D489" i="3"/>
  <c r="F489" i="3"/>
  <c r="H489" i="3"/>
  <c r="D490" i="3"/>
  <c r="F490" i="3"/>
  <c r="H490" i="3"/>
  <c r="D491" i="3"/>
  <c r="F491" i="3"/>
  <c r="H491" i="3"/>
  <c r="D492" i="3"/>
  <c r="F492" i="3"/>
  <c r="H492" i="3"/>
  <c r="D493" i="3"/>
  <c r="F493" i="3"/>
  <c r="H493" i="3"/>
  <c r="D494" i="3"/>
  <c r="F494" i="3"/>
  <c r="H494" i="3"/>
  <c r="D495" i="3"/>
  <c r="F495" i="3"/>
  <c r="H495" i="3"/>
  <c r="D496" i="3"/>
  <c r="F496" i="3"/>
  <c r="H496" i="3"/>
  <c r="D497" i="3"/>
  <c r="F497" i="3"/>
  <c r="H497" i="3"/>
  <c r="D498" i="3"/>
  <c r="F498" i="3"/>
  <c r="H498" i="3"/>
  <c r="D499" i="3"/>
  <c r="F499" i="3"/>
  <c r="H499" i="3"/>
  <c r="D500" i="3"/>
  <c r="F500" i="3"/>
  <c r="H500" i="3"/>
  <c r="D501" i="3"/>
  <c r="F501" i="3"/>
  <c r="H501" i="3"/>
  <c r="D502" i="3"/>
  <c r="F502" i="3"/>
  <c r="H502" i="3"/>
  <c r="D503" i="3"/>
  <c r="F503" i="3"/>
  <c r="H503" i="3"/>
  <c r="D504" i="3"/>
  <c r="F504" i="3"/>
  <c r="H504" i="3"/>
  <c r="D505" i="3"/>
  <c r="F505" i="3"/>
  <c r="H505" i="3"/>
  <c r="D506" i="3"/>
  <c r="F506" i="3"/>
  <c r="H506" i="3"/>
  <c r="D507" i="3"/>
  <c r="F507" i="3"/>
  <c r="H507" i="3"/>
  <c r="D508" i="3"/>
  <c r="F508" i="3"/>
  <c r="H508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509" i="3"/>
  <c r="F510" i="3"/>
  <c r="F511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D436" i="3"/>
  <c r="F436" i="3"/>
  <c r="H436" i="3"/>
  <c r="D437" i="3"/>
  <c r="F437" i="3"/>
  <c r="H437" i="3"/>
  <c r="D438" i="3"/>
  <c r="H438" i="3"/>
  <c r="D439" i="3"/>
  <c r="H439" i="3"/>
  <c r="D440" i="3"/>
  <c r="H440" i="3"/>
  <c r="D441" i="3"/>
  <c r="H441" i="3"/>
  <c r="D442" i="3"/>
  <c r="H442" i="3"/>
  <c r="D443" i="3"/>
  <c r="H443" i="3"/>
  <c r="D444" i="3"/>
  <c r="H444" i="3"/>
  <c r="D445" i="3"/>
  <c r="H445" i="3"/>
  <c r="D446" i="3"/>
  <c r="H446" i="3"/>
  <c r="D447" i="3"/>
  <c r="H447" i="3"/>
  <c r="D448" i="3"/>
  <c r="H448" i="3"/>
  <c r="D449" i="3"/>
  <c r="H449" i="3"/>
  <c r="D450" i="3"/>
  <c r="H450" i="3"/>
  <c r="D451" i="3"/>
  <c r="H451" i="3"/>
  <c r="D452" i="3"/>
  <c r="H452" i="3"/>
  <c r="D453" i="3"/>
  <c r="H453" i="3"/>
  <c r="D454" i="3"/>
  <c r="H454" i="3"/>
  <c r="D455" i="3"/>
  <c r="H455" i="3"/>
  <c r="D456" i="3"/>
  <c r="H456" i="3"/>
  <c r="D457" i="3"/>
  <c r="H457" i="3"/>
  <c r="D458" i="3"/>
  <c r="H458" i="3"/>
  <c r="D459" i="3"/>
  <c r="H459" i="3"/>
  <c r="D460" i="3"/>
  <c r="H460" i="3"/>
  <c r="D461" i="3"/>
  <c r="H461" i="3"/>
  <c r="D462" i="3"/>
  <c r="H462" i="3"/>
  <c r="D463" i="3"/>
  <c r="H463" i="3"/>
  <c r="D464" i="3"/>
  <c r="H464" i="3"/>
  <c r="D465" i="3"/>
  <c r="H465" i="3"/>
  <c r="D466" i="3"/>
  <c r="H466" i="3"/>
  <c r="D467" i="3"/>
  <c r="H467" i="3"/>
  <c r="D408" i="3"/>
  <c r="F408" i="3"/>
  <c r="H408" i="3"/>
  <c r="D409" i="3"/>
  <c r="F409" i="3"/>
  <c r="H409" i="3"/>
  <c r="D410" i="3"/>
  <c r="F410" i="3"/>
  <c r="H410" i="3"/>
  <c r="D411" i="3"/>
  <c r="F411" i="3"/>
  <c r="H411" i="3"/>
  <c r="D412" i="3"/>
  <c r="F412" i="3"/>
  <c r="H412" i="3"/>
  <c r="D413" i="3"/>
  <c r="F413" i="3"/>
  <c r="H413" i="3"/>
  <c r="D414" i="3"/>
  <c r="F414" i="3"/>
  <c r="H414" i="3"/>
  <c r="D415" i="3"/>
  <c r="F415" i="3"/>
  <c r="H415" i="3"/>
  <c r="D416" i="3"/>
  <c r="F416" i="3"/>
  <c r="H416" i="3"/>
  <c r="D417" i="3"/>
  <c r="F417" i="3"/>
  <c r="H417" i="3"/>
  <c r="D418" i="3"/>
  <c r="F418" i="3"/>
  <c r="H418" i="3"/>
  <c r="D419" i="3"/>
  <c r="F419" i="3"/>
  <c r="H419" i="3"/>
  <c r="D420" i="3"/>
  <c r="F420" i="3"/>
  <c r="H420" i="3"/>
  <c r="D421" i="3"/>
  <c r="F421" i="3"/>
  <c r="H421" i="3"/>
  <c r="D422" i="3"/>
  <c r="F422" i="3"/>
  <c r="H422" i="3"/>
  <c r="D423" i="3"/>
  <c r="F423" i="3"/>
  <c r="H423" i="3"/>
  <c r="D424" i="3"/>
  <c r="F424" i="3"/>
  <c r="H424" i="3"/>
  <c r="D425" i="3"/>
  <c r="F425" i="3"/>
  <c r="H425" i="3"/>
  <c r="D426" i="3"/>
  <c r="F426" i="3"/>
  <c r="H426" i="3"/>
  <c r="D427" i="3"/>
  <c r="F427" i="3"/>
  <c r="H427" i="3"/>
  <c r="D428" i="3"/>
  <c r="F428" i="3"/>
  <c r="H428" i="3"/>
  <c r="D429" i="3"/>
  <c r="F429" i="3"/>
  <c r="H429" i="3"/>
  <c r="D430" i="3"/>
  <c r="F430" i="3"/>
  <c r="H430" i="3"/>
  <c r="D431" i="3"/>
  <c r="F431" i="3"/>
  <c r="H431" i="3"/>
  <c r="D432" i="3"/>
  <c r="F432" i="3"/>
  <c r="H432" i="3"/>
  <c r="D433" i="3"/>
  <c r="F433" i="3"/>
  <c r="H433" i="3"/>
  <c r="D434" i="3"/>
  <c r="F434" i="3"/>
  <c r="H434" i="3"/>
  <c r="D382" i="3"/>
  <c r="F382" i="3"/>
  <c r="H382" i="3"/>
  <c r="D383" i="3"/>
  <c r="F383" i="3"/>
  <c r="H383" i="3"/>
  <c r="D384" i="3"/>
  <c r="F384" i="3"/>
  <c r="H384" i="3"/>
  <c r="D385" i="3"/>
  <c r="F385" i="3"/>
  <c r="H385" i="3"/>
  <c r="D386" i="3"/>
  <c r="F386" i="3"/>
  <c r="H386" i="3"/>
  <c r="D387" i="3"/>
  <c r="F387" i="3"/>
  <c r="H387" i="3"/>
  <c r="D388" i="3"/>
  <c r="F388" i="3"/>
  <c r="H388" i="3"/>
  <c r="D389" i="3"/>
  <c r="F389" i="3"/>
  <c r="H389" i="3"/>
  <c r="D390" i="3"/>
  <c r="F390" i="3"/>
  <c r="H390" i="3"/>
  <c r="D391" i="3"/>
  <c r="F391" i="3"/>
  <c r="H391" i="3"/>
  <c r="D392" i="3"/>
  <c r="F392" i="3"/>
  <c r="H392" i="3"/>
  <c r="D393" i="3"/>
  <c r="F393" i="3"/>
  <c r="H393" i="3"/>
  <c r="D394" i="3"/>
  <c r="F394" i="3"/>
  <c r="H394" i="3"/>
  <c r="D395" i="3"/>
  <c r="F395" i="3"/>
  <c r="H395" i="3"/>
  <c r="D396" i="3"/>
  <c r="F396" i="3"/>
  <c r="H396" i="3"/>
  <c r="D397" i="3"/>
  <c r="F397" i="3"/>
  <c r="H397" i="3"/>
  <c r="D398" i="3"/>
  <c r="F398" i="3"/>
  <c r="H398" i="3"/>
  <c r="D399" i="3"/>
  <c r="F399" i="3"/>
  <c r="H399" i="3"/>
  <c r="D400" i="3"/>
  <c r="F400" i="3"/>
  <c r="H400" i="3"/>
  <c r="D401" i="3"/>
  <c r="F401" i="3"/>
  <c r="H401" i="3"/>
  <c r="D402" i="3"/>
  <c r="F402" i="3"/>
  <c r="H402" i="3"/>
  <c r="D403" i="3"/>
  <c r="F403" i="3"/>
  <c r="H403" i="3"/>
  <c r="D404" i="3"/>
  <c r="F404" i="3"/>
  <c r="H404" i="3"/>
  <c r="D405" i="3"/>
  <c r="F405" i="3"/>
  <c r="H405" i="3"/>
  <c r="D406" i="3"/>
  <c r="F406" i="3"/>
  <c r="H406" i="3"/>
  <c r="D407" i="3"/>
  <c r="F407" i="3"/>
  <c r="H407" i="3"/>
  <c r="D435" i="3"/>
  <c r="F435" i="3"/>
  <c r="H435" i="3"/>
  <c r="D509" i="3"/>
  <c r="H509" i="3"/>
  <c r="D510" i="3"/>
  <c r="H510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45" i="3"/>
  <c r="F346" i="3"/>
  <c r="F347" i="3"/>
  <c r="F348" i="3"/>
  <c r="F349" i="3"/>
  <c r="F350" i="3"/>
  <c r="F351" i="3"/>
  <c r="D512" i="3"/>
  <c r="H512" i="3"/>
  <c r="F339" i="3"/>
  <c r="F340" i="3"/>
  <c r="F341" i="3"/>
  <c r="F342" i="3"/>
  <c r="F343" i="3"/>
  <c r="F344" i="3"/>
  <c r="F352" i="3"/>
  <c r="F353" i="3"/>
  <c r="F354" i="3"/>
  <c r="F355" i="3"/>
  <c r="F356" i="3"/>
  <c r="F512" i="3"/>
  <c r="D344" i="3"/>
  <c r="H344" i="3"/>
  <c r="D345" i="3"/>
  <c r="H345" i="3"/>
  <c r="D346" i="3"/>
  <c r="H346" i="3"/>
  <c r="D347" i="3"/>
  <c r="H347" i="3"/>
  <c r="D348" i="3"/>
  <c r="H348" i="3"/>
  <c r="D349" i="3"/>
  <c r="H349" i="3"/>
  <c r="D350" i="3"/>
  <c r="H350" i="3"/>
  <c r="D351" i="3"/>
  <c r="H351" i="3"/>
  <c r="D352" i="3"/>
  <c r="H352" i="3"/>
  <c r="D353" i="3"/>
  <c r="H353" i="3"/>
  <c r="D354" i="3"/>
  <c r="H354" i="3"/>
  <c r="D355" i="3"/>
  <c r="H355" i="3"/>
  <c r="D356" i="3"/>
  <c r="H356" i="3"/>
  <c r="D357" i="3"/>
  <c r="H357" i="3"/>
  <c r="D358" i="3"/>
  <c r="H358" i="3"/>
  <c r="D359" i="3"/>
  <c r="H359" i="3"/>
  <c r="D360" i="3"/>
  <c r="H360" i="3"/>
  <c r="D361" i="3"/>
  <c r="H361" i="3"/>
  <c r="D362" i="3"/>
  <c r="H362" i="3"/>
  <c r="D363" i="3"/>
  <c r="H363" i="3"/>
  <c r="D364" i="3"/>
  <c r="H364" i="3"/>
  <c r="D365" i="3"/>
  <c r="H365" i="3"/>
  <c r="D366" i="3"/>
  <c r="H366" i="3"/>
  <c r="D367" i="3"/>
  <c r="H367" i="3"/>
  <c r="D368" i="3"/>
  <c r="H368" i="3"/>
  <c r="D369" i="3"/>
  <c r="H369" i="3"/>
  <c r="D370" i="3"/>
  <c r="H370" i="3"/>
  <c r="D371" i="3"/>
  <c r="H371" i="3"/>
  <c r="D372" i="3"/>
  <c r="H372" i="3"/>
  <c r="D373" i="3"/>
  <c r="H373" i="3"/>
  <c r="D374" i="3"/>
  <c r="H374" i="3"/>
  <c r="D375" i="3"/>
  <c r="H375" i="3"/>
  <c r="D376" i="3"/>
  <c r="H376" i="3"/>
  <c r="D377" i="3"/>
  <c r="H377" i="3"/>
  <c r="D378" i="3"/>
  <c r="H378" i="3"/>
  <c r="D379" i="3"/>
  <c r="H379" i="3"/>
  <c r="F304" i="3"/>
  <c r="H304" i="3"/>
  <c r="F305" i="3"/>
  <c r="H305" i="3"/>
  <c r="F306" i="3"/>
  <c r="H306" i="3"/>
  <c r="F307" i="3"/>
  <c r="H307" i="3"/>
  <c r="F308" i="3"/>
  <c r="H308" i="3"/>
  <c r="F309" i="3"/>
  <c r="H309" i="3"/>
  <c r="F310" i="3"/>
  <c r="H310" i="3"/>
  <c r="F311" i="3"/>
  <c r="H311" i="3"/>
  <c r="F312" i="3"/>
  <c r="H312" i="3"/>
  <c r="F313" i="3"/>
  <c r="H313" i="3"/>
  <c r="F314" i="3"/>
  <c r="H314" i="3"/>
  <c r="F315" i="3"/>
  <c r="H315" i="3"/>
  <c r="F316" i="3"/>
  <c r="H316" i="3"/>
  <c r="F317" i="3"/>
  <c r="H317" i="3"/>
  <c r="F318" i="3"/>
  <c r="H318" i="3"/>
  <c r="F319" i="3"/>
  <c r="H319" i="3"/>
  <c r="F320" i="3"/>
  <c r="H320" i="3"/>
  <c r="F321" i="3"/>
  <c r="H321" i="3"/>
  <c r="F322" i="3"/>
  <c r="H322" i="3"/>
  <c r="F323" i="3"/>
  <c r="H323" i="3"/>
  <c r="F324" i="3"/>
  <c r="H324" i="3"/>
  <c r="F325" i="3"/>
  <c r="H325" i="3"/>
  <c r="F326" i="3"/>
  <c r="H326" i="3"/>
  <c r="F327" i="3"/>
  <c r="H327" i="3"/>
  <c r="F328" i="3"/>
  <c r="H328" i="3"/>
  <c r="F329" i="3"/>
  <c r="H329" i="3"/>
  <c r="F330" i="3"/>
  <c r="H330" i="3"/>
  <c r="F331" i="3"/>
  <c r="H331" i="3"/>
  <c r="F332" i="3"/>
  <c r="H332" i="3"/>
  <c r="F333" i="3"/>
  <c r="H333" i="3"/>
  <c r="F334" i="3"/>
  <c r="H334" i="3"/>
  <c r="F335" i="3"/>
  <c r="H335" i="3"/>
  <c r="F336" i="3"/>
  <c r="H336" i="3"/>
  <c r="F337" i="3"/>
  <c r="H337" i="3"/>
  <c r="F338" i="3"/>
  <c r="H338" i="3"/>
  <c r="D317" i="2"/>
  <c r="D316" i="2"/>
  <c r="D315" i="2"/>
  <c r="F256" i="3"/>
  <c r="F257" i="3"/>
  <c r="F258" i="3"/>
  <c r="F259" i="3"/>
  <c r="F260" i="3"/>
  <c r="F261" i="3"/>
  <c r="F262" i="3"/>
  <c r="F263" i="3"/>
  <c r="F264" i="3"/>
  <c r="F265" i="3"/>
  <c r="F266" i="3"/>
  <c r="H259" i="3"/>
  <c r="H260" i="3"/>
  <c r="H261" i="3"/>
  <c r="H262" i="3"/>
  <c r="H263" i="3"/>
  <c r="H264" i="3"/>
  <c r="H265" i="3"/>
  <c r="H266" i="3"/>
  <c r="F267" i="3"/>
  <c r="H267" i="3"/>
  <c r="F268" i="3"/>
  <c r="H268" i="3"/>
  <c r="F269" i="3"/>
  <c r="H269" i="3"/>
  <c r="F270" i="3"/>
  <c r="H270" i="3"/>
  <c r="F271" i="3"/>
  <c r="H271" i="3"/>
  <c r="F272" i="3"/>
  <c r="H272" i="3"/>
  <c r="F273" i="3"/>
  <c r="H273" i="3"/>
  <c r="F274" i="3"/>
  <c r="H274" i="3"/>
  <c r="F275" i="3"/>
  <c r="H275" i="3"/>
  <c r="F276" i="3"/>
  <c r="H276" i="3"/>
  <c r="F277" i="3"/>
  <c r="H277" i="3"/>
  <c r="F278" i="3"/>
  <c r="H278" i="3"/>
  <c r="F279" i="3"/>
  <c r="H279" i="3"/>
  <c r="F280" i="3"/>
  <c r="H280" i="3"/>
  <c r="F281" i="3"/>
  <c r="H281" i="3"/>
  <c r="F282" i="3"/>
  <c r="H282" i="3"/>
  <c r="F283" i="3"/>
  <c r="H283" i="3"/>
  <c r="F284" i="3"/>
  <c r="H284" i="3"/>
  <c r="F285" i="3"/>
  <c r="H285" i="3"/>
  <c r="F286" i="3"/>
  <c r="H286" i="3"/>
  <c r="F287" i="3"/>
  <c r="H287" i="3"/>
  <c r="F288" i="3"/>
  <c r="H288" i="3"/>
  <c r="F289" i="3"/>
  <c r="H289" i="3"/>
  <c r="F290" i="3"/>
  <c r="H290" i="3"/>
  <c r="F291" i="3"/>
  <c r="H291" i="3"/>
  <c r="F292" i="3"/>
  <c r="H292" i="3"/>
  <c r="F293" i="3"/>
  <c r="H293" i="3"/>
  <c r="F294" i="3"/>
  <c r="H294" i="3"/>
  <c r="F295" i="3"/>
  <c r="H295" i="3"/>
  <c r="F296" i="3"/>
  <c r="H296" i="3"/>
  <c r="F297" i="3"/>
  <c r="H297" i="3"/>
  <c r="F298" i="3"/>
  <c r="H298" i="3"/>
  <c r="F299" i="3"/>
  <c r="H299" i="3"/>
  <c r="F300" i="3"/>
  <c r="H300" i="3"/>
  <c r="F301" i="3"/>
  <c r="H301" i="3"/>
  <c r="F302" i="3"/>
  <c r="H302" i="3"/>
  <c r="F303" i="3"/>
  <c r="H303" i="3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H58" i="2"/>
  <c r="I58" i="2" s="1"/>
  <c r="H59" i="2"/>
  <c r="I59" i="2" s="1"/>
  <c r="H60" i="2"/>
  <c r="I60" i="2" s="1"/>
  <c r="H61" i="2"/>
  <c r="I61" i="2" s="1"/>
  <c r="H62" i="2"/>
  <c r="I62" i="2" s="1"/>
  <c r="H63" i="2"/>
  <c r="I63" i="2" s="1"/>
  <c r="H64" i="2"/>
  <c r="I64" i="2" s="1"/>
  <c r="H65" i="2"/>
  <c r="I65" i="2" s="1"/>
  <c r="H66" i="2"/>
  <c r="I66" i="2" s="1"/>
  <c r="H67" i="2"/>
  <c r="I67" i="2" s="1"/>
  <c r="H68" i="2"/>
  <c r="I68" i="2" s="1"/>
  <c r="H69" i="2"/>
  <c r="I69" i="2" s="1"/>
  <c r="H70" i="2"/>
  <c r="I70" i="2" s="1"/>
  <c r="H71" i="2"/>
  <c r="I71" i="2" s="1"/>
  <c r="H72" i="2"/>
  <c r="I72" i="2" s="1"/>
  <c r="H73" i="2"/>
  <c r="I73" i="2" s="1"/>
  <c r="H74" i="2"/>
  <c r="I74" i="2" s="1"/>
  <c r="H75" i="2"/>
  <c r="I75" i="2" s="1"/>
  <c r="H76" i="2"/>
  <c r="I76" i="2" s="1"/>
  <c r="H77" i="2"/>
  <c r="I77" i="2" s="1"/>
  <c r="H78" i="2"/>
  <c r="I78" i="2" s="1"/>
  <c r="H79" i="2"/>
  <c r="I79" i="2" s="1"/>
  <c r="H80" i="2"/>
  <c r="I80" i="2" s="1"/>
  <c r="H81" i="2"/>
  <c r="I81" i="2" s="1"/>
  <c r="H82" i="2"/>
  <c r="I82" i="2" s="1"/>
  <c r="H83" i="2"/>
  <c r="I83" i="2" s="1"/>
  <c r="H84" i="2"/>
  <c r="I84" i="2" s="1"/>
  <c r="H85" i="2"/>
  <c r="I85" i="2" s="1"/>
  <c r="H86" i="2"/>
  <c r="I86" i="2" s="1"/>
  <c r="H87" i="2"/>
  <c r="I87" i="2" s="1"/>
  <c r="H88" i="2"/>
  <c r="I88" i="2" s="1"/>
  <c r="H89" i="2"/>
  <c r="I89" i="2" s="1"/>
  <c r="H90" i="2"/>
  <c r="I90" i="2" s="1"/>
  <c r="H91" i="2"/>
  <c r="I91" i="2" s="1"/>
  <c r="H92" i="2"/>
  <c r="I92" i="2" s="1"/>
  <c r="H93" i="2"/>
  <c r="I93" i="2" s="1"/>
  <c r="H94" i="2"/>
  <c r="I94" i="2" s="1"/>
  <c r="H95" i="2"/>
  <c r="I95" i="2" s="1"/>
  <c r="H96" i="2"/>
  <c r="I96" i="2" s="1"/>
  <c r="H97" i="2"/>
  <c r="I97" i="2" s="1"/>
  <c r="H98" i="2"/>
  <c r="I98" i="2" s="1"/>
  <c r="H99" i="2"/>
  <c r="I99" i="2" s="1"/>
  <c r="H100" i="2"/>
  <c r="I100" i="2" s="1"/>
  <c r="H101" i="2"/>
  <c r="I101" i="2" s="1"/>
  <c r="H102" i="2"/>
  <c r="I102" i="2" s="1"/>
  <c r="H103" i="2"/>
  <c r="H104" i="2"/>
  <c r="I104" i="2" s="1"/>
  <c r="H105" i="2"/>
  <c r="I105" i="2" s="1"/>
  <c r="H106" i="2"/>
  <c r="I106" i="2" s="1"/>
  <c r="H107" i="2"/>
  <c r="I107" i="2" s="1"/>
  <c r="H108" i="2"/>
  <c r="I108" i="2" s="1"/>
  <c r="H109" i="2"/>
  <c r="I109" i="2" s="1"/>
  <c r="H110" i="2"/>
  <c r="I110" i="2" s="1"/>
  <c r="H111" i="2"/>
  <c r="I111" i="2" s="1"/>
  <c r="H112" i="2"/>
  <c r="I112" i="2" s="1"/>
  <c r="H113" i="2"/>
  <c r="I113" i="2" s="1"/>
  <c r="H114" i="2"/>
  <c r="I114" i="2" s="1"/>
  <c r="H115" i="2"/>
  <c r="I115" i="2" s="1"/>
  <c r="H116" i="2"/>
  <c r="I116" i="2" s="1"/>
  <c r="H117" i="2"/>
  <c r="I117" i="2" s="1"/>
  <c r="H118" i="2"/>
  <c r="I118" i="2" s="1"/>
  <c r="H119" i="2"/>
  <c r="I119" i="2" s="1"/>
  <c r="H120" i="2"/>
  <c r="I120" i="2" s="1"/>
  <c r="H121" i="2"/>
  <c r="I121" i="2" s="1"/>
  <c r="H122" i="2"/>
  <c r="I122" i="2" s="1"/>
  <c r="H123" i="2"/>
  <c r="I123" i="2" s="1"/>
  <c r="H124" i="2"/>
  <c r="I124" i="2" s="1"/>
  <c r="H125" i="2"/>
  <c r="I125" i="2" s="1"/>
  <c r="H126" i="2"/>
  <c r="I126" i="2" s="1"/>
  <c r="H127" i="2"/>
  <c r="I127" i="2" s="1"/>
  <c r="H128" i="2"/>
  <c r="I128" i="2" s="1"/>
  <c r="H129" i="2"/>
  <c r="I129" i="2" s="1"/>
  <c r="H130" i="2"/>
  <c r="I130" i="2" s="1"/>
  <c r="H131" i="2"/>
  <c r="I131" i="2" s="1"/>
  <c r="H132" i="2"/>
  <c r="I132" i="2" s="1"/>
  <c r="H133" i="2"/>
  <c r="I133" i="2" s="1"/>
  <c r="H134" i="2"/>
  <c r="I134" i="2" s="1"/>
  <c r="H135" i="2"/>
  <c r="I135" i="2" s="1"/>
  <c r="H136" i="2"/>
  <c r="I136" i="2" s="1"/>
  <c r="H137" i="2"/>
  <c r="I137" i="2" s="1"/>
  <c r="H138" i="2"/>
  <c r="I138" i="2" s="1"/>
  <c r="H139" i="2"/>
  <c r="I139" i="2" s="1"/>
  <c r="H140" i="2"/>
  <c r="I140" i="2" s="1"/>
  <c r="H141" i="2"/>
  <c r="I141" i="2" s="1"/>
  <c r="H142" i="2"/>
  <c r="I142" i="2" s="1"/>
  <c r="H143" i="2"/>
  <c r="I143" i="2" s="1"/>
  <c r="H144" i="2"/>
  <c r="I144" i="2" s="1"/>
  <c r="H145" i="2"/>
  <c r="I145" i="2" s="1"/>
  <c r="H146" i="2"/>
  <c r="I146" i="2" s="1"/>
  <c r="H147" i="2"/>
  <c r="I147" i="2" s="1"/>
  <c r="H148" i="2"/>
  <c r="I148" i="2" s="1"/>
  <c r="H149" i="2"/>
  <c r="I149" i="2" s="1"/>
  <c r="H150" i="2"/>
  <c r="I150" i="2" s="1"/>
  <c r="H151" i="2"/>
  <c r="I151" i="2" s="1"/>
  <c r="H152" i="2"/>
  <c r="I152" i="2" s="1"/>
  <c r="H153" i="2"/>
  <c r="I153" i="2" s="1"/>
  <c r="H154" i="2"/>
  <c r="I154" i="2" s="1"/>
  <c r="H155" i="2"/>
  <c r="I155" i="2" s="1"/>
  <c r="H156" i="2"/>
  <c r="I156" i="2" s="1"/>
  <c r="H157" i="2"/>
  <c r="I157" i="2" s="1"/>
  <c r="H158" i="2"/>
  <c r="I158" i="2" s="1"/>
  <c r="H159" i="2"/>
  <c r="I159" i="2" s="1"/>
  <c r="H160" i="2"/>
  <c r="I160" i="2" s="1"/>
  <c r="H161" i="2"/>
  <c r="I161" i="2" s="1"/>
  <c r="H162" i="2"/>
  <c r="I162" i="2" s="1"/>
  <c r="H163" i="2"/>
  <c r="I163" i="2" s="1"/>
  <c r="H164" i="2"/>
  <c r="I164" i="2" s="1"/>
  <c r="H165" i="2"/>
  <c r="I165" i="2" s="1"/>
  <c r="H166" i="2"/>
  <c r="I166" i="2" s="1"/>
  <c r="H167" i="2"/>
  <c r="I167" i="2" s="1"/>
  <c r="H168" i="2"/>
  <c r="I168" i="2" s="1"/>
  <c r="H169" i="2"/>
  <c r="I169" i="2" s="1"/>
  <c r="H170" i="2"/>
  <c r="I170" i="2" s="1"/>
  <c r="H171" i="2"/>
  <c r="I171" i="2" s="1"/>
  <c r="H172" i="2"/>
  <c r="I172" i="2" s="1"/>
  <c r="H173" i="2"/>
  <c r="I173" i="2" s="1"/>
  <c r="H174" i="2"/>
  <c r="I174" i="2" s="1"/>
  <c r="H175" i="2"/>
  <c r="I175" i="2" s="1"/>
  <c r="H176" i="2"/>
  <c r="I176" i="2" s="1"/>
  <c r="H177" i="2"/>
  <c r="I177" i="2" s="1"/>
  <c r="H178" i="2"/>
  <c r="I178" i="2" s="1"/>
  <c r="H179" i="2"/>
  <c r="I179" i="2" s="1"/>
  <c r="H180" i="2"/>
  <c r="I180" i="2" s="1"/>
  <c r="H181" i="2"/>
  <c r="I181" i="2" s="1"/>
  <c r="H182" i="2"/>
  <c r="I182" i="2" s="1"/>
  <c r="H183" i="2"/>
  <c r="I183" i="2" s="1"/>
  <c r="H184" i="2"/>
  <c r="I184" i="2" s="1"/>
  <c r="H185" i="2"/>
  <c r="I185" i="2" s="1"/>
  <c r="H186" i="2"/>
  <c r="I186" i="2" s="1"/>
  <c r="H187" i="2"/>
  <c r="I187" i="2" s="1"/>
  <c r="H188" i="2"/>
  <c r="I188" i="2" s="1"/>
  <c r="H189" i="2"/>
  <c r="I189" i="2" s="1"/>
  <c r="H190" i="2"/>
  <c r="I190" i="2" s="1"/>
  <c r="H191" i="2"/>
  <c r="I191" i="2" s="1"/>
  <c r="H192" i="2"/>
  <c r="I192" i="2" s="1"/>
  <c r="H193" i="2"/>
  <c r="I193" i="2" s="1"/>
  <c r="H194" i="2"/>
  <c r="I194" i="2" s="1"/>
  <c r="H195" i="2"/>
  <c r="I195" i="2" s="1"/>
  <c r="H196" i="2"/>
  <c r="I196" i="2" s="1"/>
  <c r="H197" i="2"/>
  <c r="I197" i="2" s="1"/>
  <c r="H198" i="2"/>
  <c r="I198" i="2" s="1"/>
  <c r="H199" i="2"/>
  <c r="I199" i="2" s="1"/>
  <c r="H200" i="2"/>
  <c r="I200" i="2" s="1"/>
  <c r="H201" i="2"/>
  <c r="I201" i="2" s="1"/>
  <c r="H202" i="2"/>
  <c r="I202" i="2" s="1"/>
  <c r="H203" i="2"/>
  <c r="I203" i="2" s="1"/>
  <c r="H204" i="2"/>
  <c r="I204" i="2" s="1"/>
  <c r="H205" i="2"/>
  <c r="I205" i="2" s="1"/>
  <c r="H206" i="2"/>
  <c r="I206" i="2" s="1"/>
  <c r="H207" i="2"/>
  <c r="I207" i="2" s="1"/>
  <c r="H208" i="2"/>
  <c r="I208" i="2" s="1"/>
  <c r="H209" i="2"/>
  <c r="I209" i="2" s="1"/>
  <c r="H210" i="2"/>
  <c r="I210" i="2" s="1"/>
  <c r="H211" i="2"/>
  <c r="I211" i="2" s="1"/>
  <c r="H212" i="2"/>
  <c r="I212" i="2" s="1"/>
  <c r="H213" i="2"/>
  <c r="I213" i="2" s="1"/>
  <c r="H214" i="2"/>
  <c r="I214" i="2" s="1"/>
  <c r="H215" i="2"/>
  <c r="I215" i="2" s="1"/>
  <c r="H216" i="2"/>
  <c r="I216" i="2" s="1"/>
  <c r="H217" i="2"/>
  <c r="I217" i="2" s="1"/>
  <c r="H218" i="2"/>
  <c r="I218" i="2" s="1"/>
  <c r="H219" i="2"/>
  <c r="I219" i="2" s="1"/>
  <c r="H220" i="2"/>
  <c r="I220" i="2" s="1"/>
  <c r="H221" i="2"/>
  <c r="I221" i="2" s="1"/>
  <c r="H222" i="2"/>
  <c r="I222" i="2" s="1"/>
  <c r="H223" i="2"/>
  <c r="I223" i="2" s="1"/>
  <c r="H224" i="2"/>
  <c r="I224" i="2" s="1"/>
  <c r="H225" i="2"/>
  <c r="I225" i="2" s="1"/>
  <c r="H226" i="2"/>
  <c r="I226" i="2" s="1"/>
  <c r="H227" i="2"/>
  <c r="I227" i="2" s="1"/>
  <c r="H228" i="2"/>
  <c r="I228" i="2" s="1"/>
  <c r="H229" i="2"/>
  <c r="I229" i="2" s="1"/>
  <c r="H230" i="2"/>
  <c r="I230" i="2" s="1"/>
  <c r="H231" i="2"/>
  <c r="I231" i="2" s="1"/>
  <c r="H232" i="2"/>
  <c r="I232" i="2" s="1"/>
  <c r="H233" i="2"/>
  <c r="I233" i="2" s="1"/>
  <c r="H234" i="2"/>
  <c r="I234" i="2" s="1"/>
  <c r="H235" i="2"/>
  <c r="I235" i="2" s="1"/>
  <c r="H236" i="2"/>
  <c r="I236" i="2" s="1"/>
  <c r="H237" i="2"/>
  <c r="I237" i="2" s="1"/>
  <c r="H238" i="2"/>
  <c r="I238" i="2" s="1"/>
  <c r="H239" i="2"/>
  <c r="I239" i="2" s="1"/>
  <c r="H240" i="2"/>
  <c r="I240" i="2" s="1"/>
  <c r="H241" i="2"/>
  <c r="I241" i="2" s="1"/>
  <c r="H242" i="2"/>
  <c r="I242" i="2" s="1"/>
  <c r="H243" i="2"/>
  <c r="I243" i="2" s="1"/>
  <c r="H244" i="2"/>
  <c r="I244" i="2" s="1"/>
  <c r="H245" i="2"/>
  <c r="I245" i="2" s="1"/>
  <c r="H246" i="2"/>
  <c r="I246" i="2" s="1"/>
  <c r="H247" i="2"/>
  <c r="I247" i="2" s="1"/>
  <c r="H248" i="2"/>
  <c r="I248" i="2" s="1"/>
  <c r="H249" i="2"/>
  <c r="I249" i="2" s="1"/>
  <c r="H250" i="2"/>
  <c r="I250" i="2" s="1"/>
  <c r="H251" i="2"/>
  <c r="I251" i="2" s="1"/>
  <c r="H252" i="2"/>
  <c r="I252" i="2" s="1"/>
  <c r="H253" i="2"/>
  <c r="I253" i="2" s="1"/>
  <c r="H254" i="2"/>
  <c r="I254" i="2" s="1"/>
  <c r="H255" i="2"/>
  <c r="I255" i="2" s="1"/>
  <c r="H256" i="2"/>
  <c r="I256" i="2" s="1"/>
  <c r="H257" i="2"/>
  <c r="I257" i="2" s="1"/>
  <c r="H258" i="2"/>
  <c r="I258" i="2" s="1"/>
  <c r="H259" i="2"/>
  <c r="I259" i="2" s="1"/>
  <c r="H260" i="2"/>
  <c r="I260" i="2" s="1"/>
  <c r="H261" i="2"/>
  <c r="I261" i="2" s="1"/>
  <c r="H262" i="2"/>
  <c r="I262" i="2" s="1"/>
  <c r="H263" i="2"/>
  <c r="I263" i="2" s="1"/>
  <c r="H264" i="2"/>
  <c r="I264" i="2" s="1"/>
  <c r="H265" i="2"/>
  <c r="I265" i="2" s="1"/>
  <c r="H266" i="2"/>
  <c r="I266" i="2" s="1"/>
  <c r="H267" i="2"/>
  <c r="I267" i="2" s="1"/>
  <c r="H268" i="2"/>
  <c r="I268" i="2" s="1"/>
  <c r="H269" i="2"/>
  <c r="I269" i="2" s="1"/>
  <c r="H270" i="2"/>
  <c r="I270" i="2" s="1"/>
  <c r="H271" i="2"/>
  <c r="I271" i="2" s="1"/>
  <c r="H272" i="2"/>
  <c r="I272" i="2" s="1"/>
  <c r="H273" i="2"/>
  <c r="I273" i="2" s="1"/>
  <c r="H274" i="2"/>
  <c r="I274" i="2" s="1"/>
  <c r="H275" i="2"/>
  <c r="I275" i="2" s="1"/>
  <c r="H276" i="2"/>
  <c r="I276" i="2" s="1"/>
  <c r="H277" i="2"/>
  <c r="I277" i="2" s="1"/>
  <c r="H278" i="2"/>
  <c r="I278" i="2" s="1"/>
  <c r="H279" i="2"/>
  <c r="I279" i="2" s="1"/>
  <c r="H280" i="2"/>
  <c r="I280" i="2" s="1"/>
  <c r="H281" i="2"/>
  <c r="I281" i="2" s="1"/>
  <c r="H282" i="2"/>
  <c r="I282" i="2" s="1"/>
  <c r="H283" i="2"/>
  <c r="I283" i="2" s="1"/>
  <c r="H284" i="2"/>
  <c r="I284" i="2" s="1"/>
  <c r="H285" i="2"/>
  <c r="I285" i="2" s="1"/>
  <c r="H286" i="2"/>
  <c r="I286" i="2" s="1"/>
  <c r="H287" i="2"/>
  <c r="I287" i="2" s="1"/>
  <c r="H288" i="2"/>
  <c r="I288" i="2" s="1"/>
  <c r="H289" i="2"/>
  <c r="I289" i="2" s="1"/>
  <c r="H290" i="2"/>
  <c r="I290" i="2" s="1"/>
  <c r="H291" i="2"/>
  <c r="I291" i="2" s="1"/>
  <c r="H292" i="2"/>
  <c r="I292" i="2" s="1"/>
  <c r="H293" i="2"/>
  <c r="I293" i="2" s="1"/>
  <c r="H294" i="2"/>
  <c r="I294" i="2" s="1"/>
  <c r="H295" i="2"/>
  <c r="I295" i="2" s="1"/>
  <c r="H296" i="2"/>
  <c r="I296" i="2" s="1"/>
  <c r="H297" i="2"/>
  <c r="I297" i="2" s="1"/>
  <c r="H298" i="2"/>
  <c r="I298" i="2" s="1"/>
  <c r="H299" i="2"/>
  <c r="I299" i="2" s="1"/>
  <c r="H300" i="2"/>
  <c r="I300" i="2" s="1"/>
  <c r="H301" i="2"/>
  <c r="I301" i="2" s="1"/>
  <c r="H302" i="2"/>
  <c r="I302" i="2" s="1"/>
  <c r="H303" i="2"/>
  <c r="I303" i="2" s="1"/>
  <c r="H304" i="2"/>
  <c r="I304" i="2" s="1"/>
  <c r="H305" i="2"/>
  <c r="I305" i="2" s="1"/>
  <c r="H306" i="2"/>
  <c r="I306" i="2" s="1"/>
  <c r="H307" i="2"/>
  <c r="I307" i="2" s="1"/>
  <c r="H308" i="2"/>
  <c r="I308" i="2" s="1"/>
  <c r="H309" i="2"/>
  <c r="I309" i="2" s="1"/>
  <c r="H310" i="2"/>
  <c r="I310" i="2" s="1"/>
  <c r="H311" i="2"/>
  <c r="I311" i="2" s="1"/>
  <c r="H312" i="2"/>
  <c r="I312" i="2" s="1"/>
  <c r="H313" i="2"/>
  <c r="I313" i="2" s="1"/>
  <c r="H314" i="2"/>
  <c r="I314" i="2" s="1"/>
  <c r="H315" i="2"/>
  <c r="I315" i="2" s="1"/>
  <c r="H316" i="2"/>
  <c r="I316" i="2" s="1"/>
  <c r="H317" i="2"/>
  <c r="I317" i="2" s="1"/>
  <c r="H318" i="2"/>
  <c r="I318" i="2" s="1"/>
  <c r="H319" i="2"/>
  <c r="I319" i="2" s="1"/>
  <c r="H320" i="2"/>
  <c r="I320" i="2" s="1"/>
  <c r="H321" i="2"/>
  <c r="I321" i="2" s="1"/>
  <c r="H322" i="2"/>
  <c r="I322" i="2" s="1"/>
  <c r="H323" i="2"/>
  <c r="I323" i="2" s="1"/>
  <c r="H324" i="2"/>
  <c r="I324" i="2" s="1"/>
  <c r="H325" i="2"/>
  <c r="I325" i="2" s="1"/>
  <c r="H326" i="2"/>
  <c r="I326" i="2" s="1"/>
  <c r="H327" i="2"/>
  <c r="I327" i="2" s="1"/>
  <c r="H328" i="2"/>
  <c r="I328" i="2" s="1"/>
  <c r="H329" i="2"/>
  <c r="I329" i="2" s="1"/>
  <c r="H330" i="2"/>
  <c r="I330" i="2" s="1"/>
  <c r="H331" i="2"/>
  <c r="I331" i="2" s="1"/>
  <c r="H332" i="2"/>
  <c r="I332" i="2" s="1"/>
  <c r="H333" i="2"/>
  <c r="I333" i="2" s="1"/>
  <c r="I370" i="2"/>
  <c r="I371" i="2"/>
  <c r="D306" i="2"/>
  <c r="D307" i="2"/>
  <c r="D308" i="2"/>
  <c r="D309" i="2"/>
  <c r="D310" i="2"/>
  <c r="D311" i="2"/>
  <c r="D312" i="2"/>
  <c r="D313" i="2"/>
  <c r="F311" i="2"/>
  <c r="F312" i="2"/>
  <c r="F313" i="2"/>
  <c r="F314" i="2"/>
  <c r="F315" i="2"/>
  <c r="D314" i="2"/>
  <c r="F316" i="2"/>
  <c r="F317" i="2"/>
  <c r="D318" i="2"/>
  <c r="F318" i="2"/>
  <c r="D319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H334" i="2"/>
  <c r="I334" i="2" s="1"/>
  <c r="D335" i="2"/>
  <c r="F335" i="2"/>
  <c r="H335" i="2"/>
  <c r="I335" i="2" s="1"/>
  <c r="D369" i="2"/>
  <c r="F369" i="2"/>
  <c r="H369" i="2"/>
  <c r="I369" i="2" s="1"/>
  <c r="F306" i="2"/>
  <c r="F307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F289" i="2"/>
  <c r="D287" i="2"/>
  <c r="D288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D305" i="2"/>
  <c r="F305" i="2"/>
  <c r="F308" i="2"/>
  <c r="F309" i="2"/>
  <c r="D286" i="2"/>
  <c r="F199" i="3"/>
  <c r="H199" i="3"/>
  <c r="F200" i="3"/>
  <c r="H200" i="3"/>
  <c r="F201" i="3"/>
  <c r="H201" i="3"/>
  <c r="F202" i="3"/>
  <c r="H202" i="3"/>
  <c r="F203" i="3"/>
  <c r="H203" i="3"/>
  <c r="F204" i="3"/>
  <c r="H204" i="3"/>
  <c r="F205" i="3"/>
  <c r="H205" i="3"/>
  <c r="F206" i="3"/>
  <c r="H206" i="3"/>
  <c r="F207" i="3"/>
  <c r="H207" i="3"/>
  <c r="F208" i="3"/>
  <c r="H208" i="3"/>
  <c r="F209" i="3"/>
  <c r="H209" i="3"/>
  <c r="F210" i="3"/>
  <c r="H210" i="3"/>
  <c r="F211" i="3"/>
  <c r="H211" i="3"/>
  <c r="F212" i="3"/>
  <c r="H212" i="3"/>
  <c r="F213" i="3"/>
  <c r="H213" i="3"/>
  <c r="F214" i="3"/>
  <c r="H214" i="3"/>
  <c r="F215" i="3"/>
  <c r="H215" i="3"/>
  <c r="F216" i="3"/>
  <c r="H216" i="3"/>
  <c r="F217" i="3"/>
  <c r="H217" i="3"/>
  <c r="F218" i="3"/>
  <c r="H218" i="3"/>
  <c r="F219" i="3"/>
  <c r="H219" i="3"/>
  <c r="F220" i="3"/>
  <c r="H220" i="3"/>
  <c r="F221" i="3"/>
  <c r="H221" i="3"/>
  <c r="F222" i="3"/>
  <c r="H222" i="3"/>
  <c r="F223" i="3"/>
  <c r="H223" i="3"/>
  <c r="F224" i="3"/>
  <c r="H224" i="3"/>
  <c r="F225" i="3"/>
  <c r="H225" i="3"/>
  <c r="F226" i="3"/>
  <c r="H226" i="3"/>
  <c r="F227" i="3"/>
  <c r="H227" i="3"/>
  <c r="F228" i="3"/>
  <c r="H228" i="3"/>
  <c r="F229" i="3"/>
  <c r="H229" i="3"/>
  <c r="F230" i="3"/>
  <c r="H230" i="3"/>
  <c r="F231" i="3"/>
  <c r="H231" i="3"/>
  <c r="F232" i="3"/>
  <c r="H232" i="3"/>
  <c r="F233" i="3"/>
  <c r="H233" i="3"/>
  <c r="F234" i="3"/>
  <c r="H234" i="3"/>
  <c r="F235" i="3"/>
  <c r="H235" i="3"/>
  <c r="F236" i="3"/>
  <c r="H236" i="3"/>
  <c r="F237" i="3"/>
  <c r="H237" i="3"/>
  <c r="F238" i="3"/>
  <c r="H238" i="3"/>
  <c r="F239" i="3"/>
  <c r="H239" i="3"/>
  <c r="F240" i="3"/>
  <c r="H240" i="3"/>
  <c r="F241" i="3"/>
  <c r="H241" i="3"/>
  <c r="F242" i="3"/>
  <c r="H242" i="3"/>
  <c r="F243" i="3"/>
  <c r="H243" i="3"/>
  <c r="F244" i="3"/>
  <c r="H244" i="3"/>
  <c r="F245" i="3"/>
  <c r="H245" i="3"/>
  <c r="F246" i="3"/>
  <c r="H246" i="3"/>
  <c r="F247" i="3"/>
  <c r="H247" i="3"/>
  <c r="F248" i="3"/>
  <c r="H248" i="3"/>
  <c r="F249" i="3"/>
  <c r="H249" i="3"/>
  <c r="F250" i="3"/>
  <c r="H250" i="3"/>
  <c r="F251" i="3"/>
  <c r="H251" i="3"/>
  <c r="F252" i="3"/>
  <c r="H252" i="3"/>
  <c r="F253" i="3"/>
  <c r="H253" i="3"/>
  <c r="F254" i="3"/>
  <c r="H254" i="3"/>
  <c r="F255" i="3"/>
  <c r="H255" i="3"/>
  <c r="D284" i="2"/>
  <c r="D283" i="2"/>
  <c r="D282" i="2"/>
  <c r="D281" i="2"/>
  <c r="D280" i="2"/>
  <c r="D279" i="2"/>
  <c r="D278" i="2"/>
  <c r="D277" i="2"/>
  <c r="D276" i="2"/>
  <c r="D275" i="2"/>
  <c r="F281" i="2"/>
  <c r="D272" i="2"/>
  <c r="D271" i="2"/>
  <c r="D270" i="2"/>
  <c r="D269" i="2"/>
  <c r="D268" i="2"/>
  <c r="D267" i="2"/>
  <c r="D266" i="2"/>
  <c r="D265" i="2"/>
  <c r="D273" i="2"/>
  <c r="F273" i="2"/>
  <c r="D274" i="2"/>
  <c r="F274" i="2"/>
  <c r="F275" i="2"/>
  <c r="F276" i="2"/>
  <c r="F277" i="2"/>
  <c r="F278" i="2"/>
  <c r="F279" i="2"/>
  <c r="F280" i="2"/>
  <c r="F282" i="2"/>
  <c r="F283" i="2"/>
  <c r="F284" i="2"/>
  <c r="D285" i="2"/>
  <c r="F285" i="2"/>
  <c r="F286" i="2"/>
  <c r="F287" i="2"/>
  <c r="F288" i="2"/>
  <c r="F310" i="2"/>
  <c r="F267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F228" i="2"/>
  <c r="F229" i="2"/>
  <c r="F230" i="2"/>
  <c r="F231" i="2"/>
  <c r="F232" i="2"/>
  <c r="F233" i="2"/>
  <c r="F234" i="2"/>
  <c r="F235" i="2"/>
  <c r="F236" i="2"/>
  <c r="F237" i="2"/>
  <c r="F218" i="2"/>
  <c r="F219" i="2"/>
  <c r="F220" i="2"/>
  <c r="F221" i="2"/>
  <c r="F222" i="2"/>
  <c r="F223" i="2"/>
  <c r="F224" i="2"/>
  <c r="F225" i="2"/>
  <c r="F226" i="2"/>
  <c r="F227" i="2"/>
  <c r="D204" i="2"/>
  <c r="D203" i="2"/>
  <c r="D202" i="2"/>
  <c r="D201" i="2"/>
  <c r="D200" i="2"/>
  <c r="F200" i="2"/>
  <c r="F201" i="2"/>
  <c r="F202" i="2"/>
  <c r="F203" i="2"/>
  <c r="F204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D174" i="2"/>
  <c r="F174" i="2"/>
  <c r="F175" i="2"/>
  <c r="F176" i="2"/>
  <c r="F177" i="2"/>
  <c r="F178" i="2"/>
  <c r="D141" i="2"/>
  <c r="D142" i="2"/>
  <c r="D143" i="2"/>
  <c r="D144" i="2"/>
  <c r="D140" i="2"/>
  <c r="F140" i="2"/>
  <c r="F141" i="2"/>
  <c r="F142" i="2"/>
  <c r="F143" i="2"/>
  <c r="F144" i="2"/>
  <c r="D239" i="2"/>
  <c r="D240" i="2"/>
  <c r="D241" i="2"/>
  <c r="D242" i="2"/>
  <c r="D243" i="2"/>
  <c r="D244" i="2"/>
  <c r="D245" i="2"/>
  <c r="D246" i="2"/>
  <c r="D247" i="2"/>
  <c r="D248" i="2"/>
  <c r="F245" i="2"/>
  <c r="F246" i="2"/>
  <c r="F247" i="2"/>
  <c r="F248" i="2"/>
  <c r="F249" i="2"/>
  <c r="F250" i="2"/>
  <c r="F251" i="2"/>
  <c r="D238" i="2"/>
  <c r="F238" i="2"/>
  <c r="F239" i="2"/>
  <c r="F240" i="2"/>
  <c r="F241" i="2"/>
  <c r="F242" i="2"/>
  <c r="F243" i="2"/>
  <c r="F244" i="2"/>
  <c r="D249" i="2"/>
  <c r="F252" i="2"/>
  <c r="F253" i="2"/>
  <c r="F254" i="2"/>
  <c r="F255" i="2"/>
  <c r="F256" i="2"/>
  <c r="F257" i="2"/>
  <c r="F258" i="2"/>
  <c r="F259" i="2"/>
  <c r="F260" i="2"/>
  <c r="F261" i="2"/>
  <c r="F262" i="2"/>
  <c r="D263" i="2"/>
  <c r="F263" i="2"/>
  <c r="F127" i="2"/>
  <c r="D127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05" i="2"/>
  <c r="D192" i="2"/>
  <c r="D193" i="2"/>
  <c r="D194" i="2"/>
  <c r="D195" i="2"/>
  <c r="D196" i="2"/>
  <c r="D197" i="2"/>
  <c r="D198" i="2"/>
  <c r="D199" i="2"/>
  <c r="D191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2" i="2"/>
  <c r="D153" i="2"/>
  <c r="D147" i="2"/>
  <c r="D148" i="2"/>
  <c r="D149" i="2"/>
  <c r="D150" i="2"/>
  <c r="D151" i="2"/>
  <c r="D146" i="2"/>
  <c r="D145" i="2"/>
  <c r="D139" i="2"/>
  <c r="D138" i="2"/>
  <c r="D137" i="2"/>
  <c r="D136" i="2"/>
  <c r="D135" i="2"/>
  <c r="D134" i="2"/>
  <c r="D133" i="2"/>
  <c r="D132" i="2"/>
  <c r="D131" i="2"/>
  <c r="D130" i="2"/>
  <c r="D129" i="2"/>
  <c r="F129" i="2"/>
  <c r="F130" i="2"/>
  <c r="F131" i="2"/>
  <c r="F132" i="2"/>
  <c r="F133" i="2"/>
  <c r="F134" i="2"/>
  <c r="F135" i="2"/>
  <c r="F136" i="2"/>
  <c r="F137" i="2"/>
  <c r="F138" i="2"/>
  <c r="F139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91" i="2"/>
  <c r="F192" i="2"/>
  <c r="F193" i="2"/>
  <c r="F194" i="2"/>
  <c r="F195" i="2"/>
  <c r="F196" i="2"/>
  <c r="F197" i="2"/>
  <c r="F198" i="2"/>
  <c r="F199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D264" i="2"/>
  <c r="F264" i="2"/>
  <c r="F265" i="2"/>
  <c r="F266" i="2"/>
  <c r="F268" i="2"/>
  <c r="F269" i="2"/>
  <c r="F270" i="2"/>
  <c r="F271" i="2"/>
  <c r="F272" i="2"/>
  <c r="D128" i="2"/>
  <c r="D126" i="2"/>
  <c r="D113" i="2"/>
  <c r="D114" i="2"/>
  <c r="D115" i="2"/>
  <c r="D116" i="2"/>
  <c r="D117" i="2"/>
  <c r="D118" i="2"/>
  <c r="D119" i="2"/>
  <c r="D120" i="2"/>
  <c r="D121" i="2"/>
  <c r="D122" i="2"/>
  <c r="D112" i="2"/>
  <c r="F112" i="2"/>
  <c r="F113" i="2"/>
  <c r="F114" i="2"/>
  <c r="F115" i="2"/>
  <c r="F116" i="2"/>
  <c r="F117" i="2"/>
  <c r="F118" i="2"/>
  <c r="F119" i="2"/>
  <c r="F120" i="2"/>
  <c r="F121" i="2"/>
  <c r="F122" i="2"/>
  <c r="D123" i="2"/>
  <c r="F123" i="2"/>
  <c r="D124" i="2"/>
  <c r="F124" i="2"/>
  <c r="D125" i="2"/>
  <c r="F125" i="2"/>
  <c r="F126" i="2"/>
  <c r="F128" i="2"/>
  <c r="F111" i="2"/>
  <c r="D111" i="2"/>
  <c r="I103" i="2"/>
  <c r="H3" i="2"/>
  <c r="I3" i="2" s="1"/>
  <c r="F196" i="3"/>
  <c r="H196" i="3"/>
  <c r="F197" i="3"/>
  <c r="H197" i="3"/>
  <c r="F198" i="3"/>
  <c r="H198" i="3"/>
  <c r="H256" i="3"/>
  <c r="H257" i="3"/>
  <c r="H258" i="3"/>
  <c r="H339" i="3"/>
  <c r="H340" i="3"/>
  <c r="H341" i="3"/>
  <c r="H342" i="3"/>
  <c r="H343" i="3"/>
  <c r="F184" i="3"/>
  <c r="H184" i="3"/>
  <c r="F185" i="3"/>
  <c r="H185" i="3"/>
  <c r="F186" i="3"/>
  <c r="H186" i="3"/>
  <c r="F187" i="3"/>
  <c r="H187" i="3"/>
  <c r="F188" i="3"/>
  <c r="H188" i="3"/>
  <c r="F189" i="3"/>
  <c r="H189" i="3"/>
  <c r="F190" i="3"/>
  <c r="H190" i="3"/>
  <c r="F191" i="3"/>
  <c r="H191" i="3"/>
  <c r="F192" i="3"/>
  <c r="H192" i="3"/>
  <c r="F193" i="3"/>
  <c r="H193" i="3"/>
  <c r="F194" i="3"/>
  <c r="H194" i="3"/>
  <c r="F172" i="3"/>
  <c r="F173" i="3"/>
  <c r="F174" i="3"/>
  <c r="F175" i="3"/>
  <c r="F176" i="3"/>
  <c r="F177" i="3"/>
  <c r="F178" i="3"/>
  <c r="F179" i="3"/>
  <c r="F180" i="3"/>
  <c r="F181" i="3"/>
  <c r="F182" i="3"/>
  <c r="H174" i="3"/>
  <c r="H175" i="3"/>
  <c r="H176" i="3"/>
  <c r="H177" i="3"/>
  <c r="H178" i="3"/>
  <c r="H179" i="3"/>
  <c r="H180" i="3"/>
  <c r="H181" i="3"/>
  <c r="F167" i="3"/>
  <c r="F168" i="3"/>
  <c r="F169" i="3"/>
  <c r="F170" i="3"/>
  <c r="F171" i="3"/>
  <c r="F183" i="3"/>
  <c r="F195" i="3"/>
  <c r="F156" i="3"/>
  <c r="H156" i="3"/>
  <c r="F157" i="3"/>
  <c r="H157" i="3"/>
  <c r="F158" i="3"/>
  <c r="H158" i="3"/>
  <c r="F159" i="3"/>
  <c r="H159" i="3"/>
  <c r="F160" i="3"/>
  <c r="H160" i="3"/>
  <c r="H161" i="3"/>
  <c r="F162" i="3"/>
  <c r="H162" i="3"/>
  <c r="F163" i="3"/>
  <c r="H163" i="3"/>
  <c r="F164" i="3"/>
  <c r="H164" i="3"/>
  <c r="F165" i="3"/>
  <c r="H165" i="3"/>
  <c r="F166" i="3"/>
  <c r="H166" i="3"/>
  <c r="F134" i="3"/>
  <c r="H134" i="3"/>
  <c r="F135" i="3"/>
  <c r="H135" i="3"/>
  <c r="F136" i="3"/>
  <c r="H136" i="3"/>
  <c r="F137" i="3"/>
  <c r="H137" i="3"/>
  <c r="F138" i="3"/>
  <c r="H138" i="3"/>
  <c r="F139" i="3"/>
  <c r="H139" i="3"/>
  <c r="F140" i="3"/>
  <c r="H140" i="3"/>
  <c r="F141" i="3"/>
  <c r="H141" i="3"/>
  <c r="F142" i="3"/>
  <c r="H142" i="3"/>
  <c r="F143" i="3"/>
  <c r="H143" i="3"/>
  <c r="F144" i="3"/>
  <c r="H144" i="3"/>
  <c r="F145" i="3"/>
  <c r="H145" i="3"/>
  <c r="F146" i="3"/>
  <c r="H146" i="3"/>
  <c r="F147" i="3"/>
  <c r="H147" i="3"/>
  <c r="F148" i="3"/>
  <c r="H148" i="3"/>
  <c r="F149" i="3"/>
  <c r="H149" i="3"/>
  <c r="F150" i="3"/>
  <c r="H150" i="3"/>
  <c r="F151" i="3"/>
  <c r="H151" i="3"/>
  <c r="F152" i="3"/>
  <c r="H152" i="3"/>
  <c r="F153" i="3"/>
  <c r="H153" i="3"/>
  <c r="F154" i="3"/>
  <c r="H154" i="3"/>
  <c r="F155" i="3"/>
  <c r="H155" i="3"/>
  <c r="F161" i="3"/>
  <c r="H167" i="3"/>
  <c r="H168" i="3"/>
  <c r="H169" i="3"/>
  <c r="H170" i="3"/>
  <c r="H171" i="3"/>
  <c r="H172" i="3"/>
  <c r="F106" i="2"/>
  <c r="F107" i="2"/>
  <c r="F108" i="2"/>
  <c r="F104" i="2"/>
  <c r="D101" i="2"/>
  <c r="D102" i="2"/>
  <c r="D103" i="2"/>
  <c r="D104" i="2"/>
  <c r="D105" i="2"/>
  <c r="D106" i="2"/>
  <c r="D107" i="2"/>
  <c r="D108" i="2"/>
  <c r="D109" i="2"/>
  <c r="D110" i="2"/>
  <c r="D100" i="2"/>
  <c r="D99" i="2"/>
  <c r="D98" i="2"/>
  <c r="D97" i="2"/>
  <c r="D96" i="2"/>
  <c r="D95" i="2"/>
  <c r="D94" i="2"/>
  <c r="D93" i="2"/>
  <c r="D92" i="2"/>
  <c r="J252" i="4"/>
  <c r="K252" i="4"/>
  <c r="J253" i="4"/>
  <c r="K253" i="4"/>
  <c r="J254" i="4"/>
  <c r="K254" i="4"/>
  <c r="J255" i="4"/>
  <c r="K255" i="4"/>
  <c r="J256" i="4"/>
  <c r="K256" i="4"/>
  <c r="J257" i="4"/>
  <c r="K257" i="4"/>
  <c r="J258" i="4"/>
  <c r="K258" i="4"/>
  <c r="J259" i="4"/>
  <c r="K259" i="4"/>
  <c r="J260" i="4"/>
  <c r="K260" i="4"/>
  <c r="J261" i="4"/>
  <c r="K261" i="4"/>
  <c r="J262" i="4"/>
  <c r="K262" i="4"/>
  <c r="J263" i="4"/>
  <c r="K263" i="4"/>
  <c r="J264" i="4"/>
  <c r="K264" i="4"/>
  <c r="J265" i="4"/>
  <c r="K265" i="4"/>
  <c r="J266" i="4"/>
  <c r="K266" i="4"/>
  <c r="J267" i="4"/>
  <c r="K267" i="4"/>
  <c r="F90" i="2"/>
  <c r="F91" i="2"/>
  <c r="F92" i="2"/>
  <c r="F93" i="2"/>
  <c r="F94" i="2"/>
  <c r="F95" i="2"/>
  <c r="F96" i="2"/>
  <c r="F97" i="2"/>
  <c r="F98" i="2"/>
  <c r="F99" i="2"/>
  <c r="F114" i="3"/>
  <c r="F115" i="3"/>
  <c r="F116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73" i="3"/>
  <c r="H182" i="3"/>
  <c r="H183" i="3"/>
  <c r="H195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380" i="3"/>
  <c r="D89" i="2"/>
  <c r="D88" i="2"/>
  <c r="D87" i="2"/>
  <c r="D86" i="2"/>
  <c r="D85" i="2"/>
  <c r="D84" i="2"/>
  <c r="D83" i="2"/>
  <c r="D82" i="2"/>
  <c r="D81" i="2"/>
  <c r="D80" i="2"/>
  <c r="D79" i="2"/>
  <c r="D77" i="2"/>
  <c r="D76" i="2"/>
  <c r="D75" i="2"/>
  <c r="D74" i="2"/>
  <c r="D73" i="2"/>
  <c r="D72" i="2"/>
  <c r="D71" i="2"/>
  <c r="D70" i="2"/>
  <c r="D69" i="2"/>
  <c r="D68" i="2"/>
  <c r="F71" i="2"/>
  <c r="F70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F59" i="2"/>
  <c r="F60" i="2"/>
  <c r="F61" i="2"/>
  <c r="F62" i="2"/>
  <c r="F63" i="2"/>
  <c r="F64" i="2"/>
  <c r="F65" i="2"/>
  <c r="F66" i="2"/>
  <c r="D67" i="2"/>
  <c r="F67" i="2"/>
  <c r="F68" i="2"/>
  <c r="F69" i="2"/>
  <c r="F72" i="2"/>
  <c r="F73" i="2"/>
  <c r="F74" i="2"/>
  <c r="F75" i="2"/>
  <c r="F76" i="2"/>
  <c r="F77" i="2"/>
  <c r="D78" i="2"/>
  <c r="F78" i="2"/>
  <c r="F79" i="2"/>
  <c r="F80" i="2"/>
  <c r="F81" i="2"/>
  <c r="F82" i="2"/>
  <c r="F83" i="2"/>
  <c r="F84" i="2"/>
  <c r="F85" i="2"/>
  <c r="F86" i="2"/>
  <c r="F87" i="2"/>
  <c r="F88" i="2"/>
  <c r="F89" i="2"/>
  <c r="D90" i="2"/>
  <c r="D91" i="2"/>
  <c r="F100" i="2"/>
  <c r="F101" i="2"/>
  <c r="F102" i="2"/>
  <c r="F103" i="2"/>
  <c r="F105" i="2"/>
  <c r="F109" i="2"/>
  <c r="F110" i="2"/>
  <c r="D48" i="2"/>
  <c r="D49" i="2"/>
  <c r="D50" i="2"/>
  <c r="D51" i="2"/>
  <c r="H75" i="3"/>
  <c r="H76" i="3"/>
  <c r="H77" i="3"/>
  <c r="H78" i="3"/>
  <c r="H79" i="3"/>
  <c r="H80" i="3"/>
  <c r="H81" i="3"/>
  <c r="H82" i="3"/>
  <c r="H83" i="3"/>
  <c r="H84" i="3"/>
  <c r="H85" i="3"/>
  <c r="H86" i="3"/>
  <c r="H372" i="2" l="1"/>
  <c r="L252" i="4"/>
  <c r="L256" i="4"/>
  <c r="L253" i="4"/>
  <c r="L255" i="4"/>
  <c r="L254" i="4"/>
  <c r="L258" i="4"/>
  <c r="L257" i="4"/>
  <c r="L259" i="4"/>
  <c r="L260" i="4"/>
  <c r="L261" i="4"/>
  <c r="L265" i="4"/>
  <c r="L264" i="4"/>
  <c r="L262" i="4"/>
  <c r="L267" i="4"/>
  <c r="L266" i="4"/>
  <c r="L263" i="4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F45" i="2"/>
  <c r="D46" i="2"/>
  <c r="F46" i="2"/>
  <c r="D47" i="2"/>
  <c r="F47" i="2"/>
  <c r="F48" i="2"/>
  <c r="F49" i="2"/>
  <c r="F50" i="2"/>
  <c r="F51" i="2"/>
  <c r="D52" i="2"/>
  <c r="F52" i="2"/>
  <c r="F53" i="2"/>
  <c r="F54" i="2"/>
  <c r="F55" i="2"/>
  <c r="F56" i="2"/>
  <c r="F57" i="2"/>
  <c r="F24" i="2"/>
  <c r="D11" i="2"/>
  <c r="F12" i="2"/>
  <c r="F13" i="2"/>
  <c r="F14" i="2"/>
  <c r="F15" i="2"/>
  <c r="F16" i="2"/>
  <c r="F17" i="2"/>
  <c r="F18" i="2"/>
  <c r="F19" i="2"/>
  <c r="F20" i="2"/>
  <c r="F21" i="2"/>
  <c r="F22" i="2"/>
  <c r="F23" i="2"/>
  <c r="F25" i="2"/>
  <c r="D26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58" i="2"/>
  <c r="D370" i="2"/>
  <c r="F370" i="2"/>
  <c r="D9" i="2"/>
  <c r="D10" i="2"/>
  <c r="J690" i="4"/>
  <c r="K690" i="4"/>
  <c r="J691" i="4"/>
  <c r="K691" i="4"/>
  <c r="J692" i="4"/>
  <c r="K692" i="4"/>
  <c r="J693" i="4"/>
  <c r="K693" i="4"/>
  <c r="J694" i="4"/>
  <c r="K694" i="4"/>
  <c r="J695" i="4"/>
  <c r="K695" i="4"/>
  <c r="J696" i="4"/>
  <c r="K696" i="4"/>
  <c r="J697" i="4"/>
  <c r="K697" i="4"/>
  <c r="J698" i="4"/>
  <c r="K698" i="4"/>
  <c r="J699" i="4"/>
  <c r="K699" i="4"/>
  <c r="J700" i="4"/>
  <c r="K700" i="4"/>
  <c r="J701" i="4"/>
  <c r="K701" i="4"/>
  <c r="D8" i="2"/>
  <c r="H29" i="3"/>
  <c r="L691" i="4" l="1"/>
  <c r="L690" i="4"/>
  <c r="L697" i="4"/>
  <c r="L692" i="4"/>
  <c r="L695" i="4"/>
  <c r="L694" i="4"/>
  <c r="L693" i="4"/>
  <c r="L696" i="4"/>
  <c r="L698" i="4"/>
  <c r="L699" i="4"/>
  <c r="L701" i="4"/>
  <c r="L700" i="4"/>
  <c r="C3" i="4"/>
  <c r="J682" i="4"/>
  <c r="K682" i="4"/>
  <c r="L682" i="4" l="1"/>
  <c r="H46" i="3" l="1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87" i="3"/>
  <c r="H88" i="3"/>
  <c r="D7" i="2"/>
  <c r="H22" i="3"/>
  <c r="H23" i="3"/>
  <c r="H24" i="3"/>
  <c r="H25" i="3"/>
  <c r="H26" i="3"/>
  <c r="H27" i="3"/>
  <c r="H28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10" i="3"/>
  <c r="L703" i="4"/>
  <c r="H4" i="3" l="1"/>
  <c r="H5" i="3"/>
  <c r="H6" i="3"/>
  <c r="H7" i="3"/>
  <c r="H8" i="3"/>
  <c r="H9" i="3"/>
  <c r="H11" i="3"/>
  <c r="H12" i="3"/>
  <c r="H13" i="3"/>
  <c r="H14" i="3"/>
  <c r="H15" i="3"/>
  <c r="H16" i="3"/>
  <c r="H17" i="3"/>
  <c r="H18" i="3"/>
  <c r="H19" i="3"/>
  <c r="H20" i="3"/>
  <c r="H21" i="3"/>
  <c r="H43" i="3"/>
  <c r="H44" i="3"/>
  <c r="H45" i="3"/>
  <c r="H381" i="3"/>
  <c r="D6" i="2"/>
  <c r="D5" i="2"/>
  <c r="D4" i="2"/>
  <c r="F6" i="2"/>
  <c r="F7" i="2"/>
  <c r="F8" i="2"/>
  <c r="F9" i="2"/>
  <c r="F10" i="2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68" i="4"/>
  <c r="J251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17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7" i="4"/>
  <c r="J681" i="4"/>
  <c r="J684" i="4"/>
  <c r="J683" i="4"/>
  <c r="J686" i="4"/>
  <c r="J685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68" i="4"/>
  <c r="K251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17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7" i="4"/>
  <c r="K681" i="4"/>
  <c r="K684" i="4"/>
  <c r="K683" i="4"/>
  <c r="K686" i="4"/>
  <c r="K685" i="4"/>
  <c r="J3" i="4"/>
  <c r="C685" i="4"/>
  <c r="C686" i="4"/>
  <c r="C683" i="4"/>
  <c r="C684" i="4"/>
  <c r="C681" i="4"/>
  <c r="C687" i="4"/>
  <c r="C680" i="4"/>
  <c r="C679" i="4"/>
  <c r="C678" i="4"/>
  <c r="C677" i="4"/>
  <c r="C676" i="4"/>
  <c r="C675" i="4"/>
  <c r="C674" i="4"/>
  <c r="C673" i="4"/>
  <c r="C672" i="4"/>
  <c r="C671" i="4"/>
  <c r="C670" i="4"/>
  <c r="C669" i="4"/>
  <c r="C668" i="4"/>
  <c r="C667" i="4"/>
  <c r="C666" i="4"/>
  <c r="C665" i="4"/>
  <c r="C664" i="4"/>
  <c r="C663" i="4"/>
  <c r="C662" i="4"/>
  <c r="C661" i="4"/>
  <c r="C660" i="4"/>
  <c r="C659" i="4"/>
  <c r="C658" i="4"/>
  <c r="C657" i="4"/>
  <c r="C656" i="4"/>
  <c r="C655" i="4"/>
  <c r="C654" i="4"/>
  <c r="C653" i="4"/>
  <c r="C652" i="4"/>
  <c r="C651" i="4"/>
  <c r="C650" i="4"/>
  <c r="C649" i="4"/>
  <c r="C648" i="4"/>
  <c r="C647" i="4"/>
  <c r="C646" i="4"/>
  <c r="C645" i="4"/>
  <c r="C644" i="4"/>
  <c r="C643" i="4"/>
  <c r="C642" i="4"/>
  <c r="C641" i="4"/>
  <c r="C640" i="4"/>
  <c r="C639" i="4"/>
  <c r="C638" i="4"/>
  <c r="C637" i="4"/>
  <c r="C636" i="4"/>
  <c r="C635" i="4"/>
  <c r="C634" i="4"/>
  <c r="C633" i="4"/>
  <c r="C632" i="4"/>
  <c r="C631" i="4"/>
  <c r="C630" i="4"/>
  <c r="C629" i="4"/>
  <c r="C628" i="4"/>
  <c r="C627" i="4"/>
  <c r="C626" i="4"/>
  <c r="C625" i="4"/>
  <c r="C624" i="4"/>
  <c r="C623" i="4"/>
  <c r="C622" i="4"/>
  <c r="C621" i="4"/>
  <c r="C620" i="4"/>
  <c r="C619" i="4"/>
  <c r="C618" i="4"/>
  <c r="C617" i="4"/>
  <c r="C616" i="4"/>
  <c r="C615" i="4"/>
  <c r="C614" i="4"/>
  <c r="C613" i="4"/>
  <c r="C612" i="4"/>
  <c r="C611" i="4"/>
  <c r="C610" i="4"/>
  <c r="C609" i="4"/>
  <c r="C608" i="4"/>
  <c r="C607" i="4"/>
  <c r="C606" i="4"/>
  <c r="C605" i="4"/>
  <c r="C604" i="4"/>
  <c r="C603" i="4"/>
  <c r="C602" i="4"/>
  <c r="C601" i="4"/>
  <c r="C600" i="4"/>
  <c r="C598" i="4"/>
  <c r="C597" i="4"/>
  <c r="C596" i="4"/>
  <c r="C595" i="4"/>
  <c r="C594" i="4"/>
  <c r="C593" i="4"/>
  <c r="C592" i="4"/>
  <c r="C591" i="4"/>
  <c r="C590" i="4"/>
  <c r="C589" i="4"/>
  <c r="C588" i="4"/>
  <c r="C587" i="4"/>
  <c r="C586" i="4"/>
  <c r="C585" i="4"/>
  <c r="C584" i="4"/>
  <c r="C583" i="4"/>
  <c r="C582" i="4"/>
  <c r="C581" i="4"/>
  <c r="C580" i="4"/>
  <c r="C579" i="4"/>
  <c r="C578" i="4"/>
  <c r="C577" i="4"/>
  <c r="C576" i="4"/>
  <c r="C575" i="4"/>
  <c r="C574" i="4"/>
  <c r="C573" i="4"/>
  <c r="C572" i="4"/>
  <c r="C571" i="4"/>
  <c r="C570" i="4"/>
  <c r="C569" i="4"/>
  <c r="C568" i="4"/>
  <c r="C567" i="4"/>
  <c r="C566" i="4"/>
  <c r="C565" i="4"/>
  <c r="C564" i="4"/>
  <c r="C563" i="4"/>
  <c r="C562" i="4"/>
  <c r="C561" i="4"/>
  <c r="C560" i="4"/>
  <c r="C559" i="4"/>
  <c r="C558" i="4"/>
  <c r="C557" i="4"/>
  <c r="C556" i="4"/>
  <c r="C555" i="4"/>
  <c r="C554" i="4"/>
  <c r="C553" i="4"/>
  <c r="C552" i="4"/>
  <c r="C551" i="4"/>
  <c r="C550" i="4"/>
  <c r="C549" i="4"/>
  <c r="C548" i="4"/>
  <c r="C547" i="4"/>
  <c r="C546" i="4"/>
  <c r="C545" i="4"/>
  <c r="C544" i="4"/>
  <c r="C543" i="4"/>
  <c r="C542" i="4"/>
  <c r="C541" i="4"/>
  <c r="C540" i="4"/>
  <c r="C539" i="4"/>
  <c r="C538" i="4"/>
  <c r="C537" i="4"/>
  <c r="C536" i="4"/>
  <c r="C535" i="4"/>
  <c r="C534" i="4"/>
  <c r="C533" i="4"/>
  <c r="C532" i="4"/>
  <c r="C531" i="4"/>
  <c r="C530" i="4"/>
  <c r="C529" i="4"/>
  <c r="C528" i="4"/>
  <c r="C527" i="4"/>
  <c r="C526" i="4"/>
  <c r="C525" i="4"/>
  <c r="C524" i="4"/>
  <c r="C523" i="4"/>
  <c r="C522" i="4"/>
  <c r="C521" i="4"/>
  <c r="C520" i="4"/>
  <c r="C519" i="4"/>
  <c r="C518" i="4"/>
  <c r="C517" i="4"/>
  <c r="C516" i="4"/>
  <c r="C515" i="4"/>
  <c r="C514" i="4"/>
  <c r="C513" i="4"/>
  <c r="C512" i="4"/>
  <c r="C511" i="4"/>
  <c r="C510" i="4"/>
  <c r="C509" i="4"/>
  <c r="C508" i="4"/>
  <c r="C507" i="4"/>
  <c r="C506" i="4"/>
  <c r="C505" i="4"/>
  <c r="C504" i="4"/>
  <c r="C503" i="4"/>
  <c r="C502" i="4"/>
  <c r="C501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17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51" i="4"/>
  <c r="C268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K3" i="4"/>
  <c r="J689" i="4"/>
  <c r="J702" i="4"/>
  <c r="J703" i="4"/>
  <c r="K689" i="4"/>
  <c r="K702" i="4"/>
  <c r="K703" i="4"/>
  <c r="C703" i="4"/>
  <c r="C702" i="4"/>
  <c r="C689" i="4"/>
  <c r="F4" i="2"/>
  <c r="F5" i="2"/>
  <c r="F3" i="2"/>
  <c r="G513" i="3"/>
  <c r="H511" i="3"/>
  <c r="G372" i="2"/>
  <c r="I704" i="4"/>
  <c r="D371" i="2"/>
  <c r="F371" i="2"/>
  <c r="F11" i="2"/>
  <c r="D3" i="2"/>
  <c r="H3" i="3"/>
  <c r="H513" i="3" s="1"/>
  <c r="L3" i="4" l="1"/>
  <c r="L689" i="4"/>
  <c r="L685" i="4"/>
  <c r="L683" i="4"/>
  <c r="L681" i="4"/>
  <c r="L680" i="4"/>
  <c r="L678" i="4"/>
  <c r="L676" i="4"/>
  <c r="L674" i="4"/>
  <c r="L672" i="4"/>
  <c r="L670" i="4"/>
  <c r="L668" i="4"/>
  <c r="L666" i="4"/>
  <c r="L664" i="4"/>
  <c r="L662" i="4"/>
  <c r="L660" i="4"/>
  <c r="L658" i="4"/>
  <c r="L656" i="4"/>
  <c r="L654" i="4"/>
  <c r="L652" i="4"/>
  <c r="L650" i="4"/>
  <c r="L648" i="4"/>
  <c r="L646" i="4"/>
  <c r="L644" i="4"/>
  <c r="L642" i="4"/>
  <c r="L640" i="4"/>
  <c r="L638" i="4"/>
  <c r="L636" i="4"/>
  <c r="L634" i="4"/>
  <c r="L632" i="4"/>
  <c r="L630" i="4"/>
  <c r="L628" i="4"/>
  <c r="L626" i="4"/>
  <c r="L624" i="4"/>
  <c r="L622" i="4"/>
  <c r="L620" i="4"/>
  <c r="L618" i="4"/>
  <c r="L616" i="4"/>
  <c r="L614" i="4"/>
  <c r="L612" i="4"/>
  <c r="L610" i="4"/>
  <c r="L608" i="4"/>
  <c r="L606" i="4"/>
  <c r="L604" i="4"/>
  <c r="L602" i="4"/>
  <c r="L600" i="4"/>
  <c r="L598" i="4"/>
  <c r="L596" i="4"/>
  <c r="L594" i="4"/>
  <c r="L592" i="4"/>
  <c r="L590" i="4"/>
  <c r="L588" i="4"/>
  <c r="L586" i="4"/>
  <c r="L584" i="4"/>
  <c r="L582" i="4"/>
  <c r="L580" i="4"/>
  <c r="L578" i="4"/>
  <c r="L576" i="4"/>
  <c r="L574" i="4"/>
  <c r="L572" i="4"/>
  <c r="L570" i="4"/>
  <c r="L568" i="4"/>
  <c r="L566" i="4"/>
  <c r="L564" i="4"/>
  <c r="L562" i="4"/>
  <c r="L560" i="4"/>
  <c r="L558" i="4"/>
  <c r="L556" i="4"/>
  <c r="L554" i="4"/>
  <c r="L552" i="4"/>
  <c r="L550" i="4"/>
  <c r="L548" i="4"/>
  <c r="L546" i="4"/>
  <c r="L544" i="4"/>
  <c r="L542" i="4"/>
  <c r="L540" i="4"/>
  <c r="L538" i="4"/>
  <c r="L536" i="4"/>
  <c r="L534" i="4"/>
  <c r="L532" i="4"/>
  <c r="L530" i="4"/>
  <c r="L528" i="4"/>
  <c r="L526" i="4"/>
  <c r="L524" i="4"/>
  <c r="L522" i="4"/>
  <c r="L520" i="4"/>
  <c r="L518" i="4"/>
  <c r="L516" i="4"/>
  <c r="L514" i="4"/>
  <c r="L512" i="4"/>
  <c r="L510" i="4"/>
  <c r="L508" i="4"/>
  <c r="L506" i="4"/>
  <c r="L504" i="4"/>
  <c r="L502" i="4"/>
  <c r="L500" i="4"/>
  <c r="L499" i="4"/>
  <c r="L497" i="4"/>
  <c r="L495" i="4"/>
  <c r="L493" i="4"/>
  <c r="L491" i="4"/>
  <c r="L489" i="4"/>
  <c r="L487" i="4"/>
  <c r="L485" i="4"/>
  <c r="L483" i="4"/>
  <c r="L481" i="4"/>
  <c r="L479" i="4"/>
  <c r="L477" i="4"/>
  <c r="L475" i="4"/>
  <c r="L473" i="4"/>
  <c r="L471" i="4"/>
  <c r="L469" i="4"/>
  <c r="L468" i="4"/>
  <c r="L466" i="4"/>
  <c r="L464" i="4"/>
  <c r="L462" i="4"/>
  <c r="L460" i="4"/>
  <c r="L458" i="4"/>
  <c r="L456" i="4"/>
  <c r="L454" i="4"/>
  <c r="L452" i="4"/>
  <c r="L450" i="4"/>
  <c r="L448" i="4"/>
  <c r="L446" i="4"/>
  <c r="L444" i="4"/>
  <c r="L442" i="4"/>
  <c r="L440" i="4"/>
  <c r="L438" i="4"/>
  <c r="L436" i="4"/>
  <c r="L434" i="4"/>
  <c r="L432" i="4"/>
  <c r="L430" i="4"/>
  <c r="L428" i="4"/>
  <c r="L426" i="4"/>
  <c r="L424" i="4"/>
  <c r="L422" i="4"/>
  <c r="L420" i="4"/>
  <c r="L418" i="4"/>
  <c r="L416" i="4"/>
  <c r="L414" i="4"/>
  <c r="L412" i="4"/>
  <c r="L410" i="4"/>
  <c r="L408" i="4"/>
  <c r="L406" i="4"/>
  <c r="L404" i="4"/>
  <c r="L402" i="4"/>
  <c r="L400" i="4"/>
  <c r="L398" i="4"/>
  <c r="L396" i="4"/>
  <c r="L394" i="4"/>
  <c r="L392" i="4"/>
  <c r="L390" i="4"/>
  <c r="L388" i="4"/>
  <c r="L386" i="4"/>
  <c r="L384" i="4"/>
  <c r="L382" i="4"/>
  <c r="L380" i="4"/>
  <c r="L378" i="4"/>
  <c r="L376" i="4"/>
  <c r="L374" i="4"/>
  <c r="L372" i="4"/>
  <c r="L370" i="4"/>
  <c r="L368" i="4"/>
  <c r="L366" i="4"/>
  <c r="L364" i="4"/>
  <c r="L362" i="4"/>
  <c r="L360" i="4"/>
  <c r="L358" i="4"/>
  <c r="L356" i="4"/>
  <c r="L354" i="4"/>
  <c r="L352" i="4"/>
  <c r="L350" i="4"/>
  <c r="L348" i="4"/>
  <c r="L346" i="4"/>
  <c r="L344" i="4"/>
  <c r="L342" i="4"/>
  <c r="L340" i="4"/>
  <c r="L338" i="4"/>
  <c r="L336" i="4"/>
  <c r="L334" i="4"/>
  <c r="L332" i="4"/>
  <c r="L317" i="4"/>
  <c r="L329" i="4"/>
  <c r="L327" i="4"/>
  <c r="L325" i="4"/>
  <c r="L323" i="4"/>
  <c r="L321" i="4"/>
  <c r="L319" i="4"/>
  <c r="L316" i="4"/>
  <c r="L314" i="4"/>
  <c r="L312" i="4"/>
  <c r="L310" i="4"/>
  <c r="L308" i="4"/>
  <c r="L306" i="4"/>
  <c r="L304" i="4"/>
  <c r="L302" i="4"/>
  <c r="L300" i="4"/>
  <c r="L298" i="4"/>
  <c r="L296" i="4"/>
  <c r="L294" i="4"/>
  <c r="L292" i="4"/>
  <c r="L290" i="4"/>
  <c r="L288" i="4"/>
  <c r="L286" i="4"/>
  <c r="L284" i="4"/>
  <c r="L282" i="4"/>
  <c r="L280" i="4"/>
  <c r="L278" i="4"/>
  <c r="L276" i="4"/>
  <c r="L274" i="4"/>
  <c r="L272" i="4"/>
  <c r="L270" i="4"/>
  <c r="L251" i="4"/>
  <c r="L250" i="4"/>
  <c r="L248" i="4"/>
  <c r="L246" i="4"/>
  <c r="L244" i="4"/>
  <c r="L242" i="4"/>
  <c r="L240" i="4"/>
  <c r="L238" i="4"/>
  <c r="L236" i="4"/>
  <c r="L234" i="4"/>
  <c r="L232" i="4"/>
  <c r="L230" i="4"/>
  <c r="L228" i="4"/>
  <c r="L226" i="4"/>
  <c r="L224" i="4"/>
  <c r="L222" i="4"/>
  <c r="L220" i="4"/>
  <c r="L218" i="4"/>
  <c r="L216" i="4"/>
  <c r="L214" i="4"/>
  <c r="L212" i="4"/>
  <c r="L210" i="4"/>
  <c r="L208" i="4"/>
  <c r="L206" i="4"/>
  <c r="L204" i="4"/>
  <c r="L202" i="4"/>
  <c r="L200" i="4"/>
  <c r="L198" i="4"/>
  <c r="L196" i="4"/>
  <c r="L194" i="4"/>
  <c r="L192" i="4"/>
  <c r="L190" i="4"/>
  <c r="L188" i="4"/>
  <c r="L186" i="4"/>
  <c r="L184" i="4"/>
  <c r="L182" i="4"/>
  <c r="L180" i="4"/>
  <c r="L178" i="4"/>
  <c r="L176" i="4"/>
  <c r="L174" i="4"/>
  <c r="L172" i="4"/>
  <c r="L170" i="4"/>
  <c r="L168" i="4"/>
  <c r="L166" i="4"/>
  <c r="L164" i="4"/>
  <c r="L162" i="4"/>
  <c r="L160" i="4"/>
  <c r="L158" i="4"/>
  <c r="L156" i="4"/>
  <c r="L154" i="4"/>
  <c r="L152" i="4"/>
  <c r="L150" i="4"/>
  <c r="L148" i="4"/>
  <c r="L146" i="4"/>
  <c r="L144" i="4"/>
  <c r="L142" i="4"/>
  <c r="L140" i="4"/>
  <c r="L138" i="4"/>
  <c r="L136" i="4"/>
  <c r="L134" i="4"/>
  <c r="L132" i="4"/>
  <c r="L130" i="4"/>
  <c r="L128" i="4"/>
  <c r="L126" i="4"/>
  <c r="L124" i="4"/>
  <c r="L122" i="4"/>
  <c r="L120" i="4"/>
  <c r="L118" i="4"/>
  <c r="L116" i="4"/>
  <c r="L114" i="4"/>
  <c r="L112" i="4"/>
  <c r="L111" i="4"/>
  <c r="L109" i="4"/>
  <c r="L107" i="4"/>
  <c r="L105" i="4"/>
  <c r="L103" i="4"/>
  <c r="L101" i="4"/>
  <c r="L99" i="4"/>
  <c r="L97" i="4"/>
  <c r="L95" i="4"/>
  <c r="L93" i="4"/>
  <c r="L91" i="4"/>
  <c r="L89" i="4"/>
  <c r="L87" i="4"/>
  <c r="L85" i="4"/>
  <c r="L83" i="4"/>
  <c r="L81" i="4"/>
  <c r="L79" i="4"/>
  <c r="L77" i="4"/>
  <c r="L75" i="4"/>
  <c r="L73" i="4"/>
  <c r="L71" i="4"/>
  <c r="L69" i="4"/>
  <c r="L67" i="4"/>
  <c r="L65" i="4"/>
  <c r="L63" i="4"/>
  <c r="L61" i="4"/>
  <c r="L59" i="4"/>
  <c r="L57" i="4"/>
  <c r="L55" i="4"/>
  <c r="L53" i="4"/>
  <c r="L51" i="4"/>
  <c r="L49" i="4"/>
  <c r="L47" i="4"/>
  <c r="L45" i="4"/>
  <c r="L42" i="4"/>
  <c r="L40" i="4"/>
  <c r="L38" i="4"/>
  <c r="L36" i="4"/>
  <c r="L34" i="4"/>
  <c r="L32" i="4"/>
  <c r="L30" i="4"/>
  <c r="L28" i="4"/>
  <c r="L26" i="4"/>
  <c r="L24" i="4"/>
  <c r="L22" i="4"/>
  <c r="L20" i="4"/>
  <c r="L18" i="4"/>
  <c r="L16" i="4"/>
  <c r="L14" i="4"/>
  <c r="L12" i="4"/>
  <c r="L10" i="4"/>
  <c r="L8" i="4"/>
  <c r="L6" i="4"/>
  <c r="L4" i="4"/>
  <c r="L702" i="4"/>
  <c r="L686" i="4"/>
  <c r="L684" i="4"/>
  <c r="L687" i="4"/>
  <c r="L679" i="4"/>
  <c r="L677" i="4"/>
  <c r="L675" i="4"/>
  <c r="L673" i="4"/>
  <c r="L671" i="4"/>
  <c r="L669" i="4"/>
  <c r="L667" i="4"/>
  <c r="L665" i="4"/>
  <c r="L663" i="4"/>
  <c r="L661" i="4"/>
  <c r="L659" i="4"/>
  <c r="L657" i="4"/>
  <c r="L655" i="4"/>
  <c r="L653" i="4"/>
  <c r="L651" i="4"/>
  <c r="L649" i="4"/>
  <c r="L647" i="4"/>
  <c r="L645" i="4"/>
  <c r="L643" i="4"/>
  <c r="L641" i="4"/>
  <c r="L639" i="4"/>
  <c r="L637" i="4"/>
  <c r="L635" i="4"/>
  <c r="L633" i="4"/>
  <c r="L631" i="4"/>
  <c r="L629" i="4"/>
  <c r="L627" i="4"/>
  <c r="L625" i="4"/>
  <c r="L623" i="4"/>
  <c r="L621" i="4"/>
  <c r="L619" i="4"/>
  <c r="L617" i="4"/>
  <c r="L615" i="4"/>
  <c r="L613" i="4"/>
  <c r="L611" i="4"/>
  <c r="L609" i="4"/>
  <c r="L607" i="4"/>
  <c r="L605" i="4"/>
  <c r="L603" i="4"/>
  <c r="L601" i="4"/>
  <c r="L599" i="4"/>
  <c r="L597" i="4"/>
  <c r="L595" i="4"/>
  <c r="L593" i="4"/>
  <c r="L591" i="4"/>
  <c r="L589" i="4"/>
  <c r="L587" i="4"/>
  <c r="L585" i="4"/>
  <c r="L583" i="4"/>
  <c r="L581" i="4"/>
  <c r="L579" i="4"/>
  <c r="L577" i="4"/>
  <c r="L575" i="4"/>
  <c r="L573" i="4"/>
  <c r="L571" i="4"/>
  <c r="L569" i="4"/>
  <c r="L567" i="4"/>
  <c r="L565" i="4"/>
  <c r="L563" i="4"/>
  <c r="L561" i="4"/>
  <c r="L559" i="4"/>
  <c r="L557" i="4"/>
  <c r="L555" i="4"/>
  <c r="L553" i="4"/>
  <c r="L551" i="4"/>
  <c r="L549" i="4"/>
  <c r="L547" i="4"/>
  <c r="L545" i="4"/>
  <c r="L543" i="4"/>
  <c r="L541" i="4"/>
  <c r="L539" i="4"/>
  <c r="L537" i="4"/>
  <c r="L535" i="4"/>
  <c r="L533" i="4"/>
  <c r="L531" i="4"/>
  <c r="L529" i="4"/>
  <c r="L527" i="4"/>
  <c r="L525" i="4"/>
  <c r="L523" i="4"/>
  <c r="L521" i="4"/>
  <c r="L519" i="4"/>
  <c r="L517" i="4"/>
  <c r="L515" i="4"/>
  <c r="L513" i="4"/>
  <c r="L511" i="4"/>
  <c r="L509" i="4"/>
  <c r="L507" i="4"/>
  <c r="L505" i="4"/>
  <c r="L503" i="4"/>
  <c r="L501" i="4"/>
  <c r="L498" i="4"/>
  <c r="L496" i="4"/>
  <c r="L494" i="4"/>
  <c r="L492" i="4"/>
  <c r="L490" i="4"/>
  <c r="L488" i="4"/>
  <c r="L486" i="4"/>
  <c r="L484" i="4"/>
  <c r="L482" i="4"/>
  <c r="L480" i="4"/>
  <c r="L478" i="4"/>
  <c r="L476" i="4"/>
  <c r="L474" i="4"/>
  <c r="L472" i="4"/>
  <c r="L470" i="4"/>
  <c r="L467" i="4"/>
  <c r="L465" i="4"/>
  <c r="L463" i="4"/>
  <c r="L461" i="4"/>
  <c r="L459" i="4"/>
  <c r="L457" i="4"/>
  <c r="L455" i="4"/>
  <c r="L453" i="4"/>
  <c r="L451" i="4"/>
  <c r="L449" i="4"/>
  <c r="L447" i="4"/>
  <c r="L445" i="4"/>
  <c r="L443" i="4"/>
  <c r="L441" i="4"/>
  <c r="L439" i="4"/>
  <c r="L437" i="4"/>
  <c r="L435" i="4"/>
  <c r="L433" i="4"/>
  <c r="L431" i="4"/>
  <c r="L429" i="4"/>
  <c r="L427" i="4"/>
  <c r="L425" i="4"/>
  <c r="L423" i="4"/>
  <c r="L421" i="4"/>
  <c r="L419" i="4"/>
  <c r="L417" i="4"/>
  <c r="L415" i="4"/>
  <c r="L413" i="4"/>
  <c r="L411" i="4"/>
  <c r="L409" i="4"/>
  <c r="L407" i="4"/>
  <c r="L405" i="4"/>
  <c r="L403" i="4"/>
  <c r="L401" i="4"/>
  <c r="L399" i="4"/>
  <c r="L397" i="4"/>
  <c r="L395" i="4"/>
  <c r="L393" i="4"/>
  <c r="L391" i="4"/>
  <c r="L389" i="4"/>
  <c r="L387" i="4"/>
  <c r="L385" i="4"/>
  <c r="L383" i="4"/>
  <c r="L381" i="4"/>
  <c r="L379" i="4"/>
  <c r="L377" i="4"/>
  <c r="L375" i="4"/>
  <c r="L373" i="4"/>
  <c r="L371" i="4"/>
  <c r="L369" i="4"/>
  <c r="L367" i="4"/>
  <c r="L365" i="4"/>
  <c r="L363" i="4"/>
  <c r="L361" i="4"/>
  <c r="L359" i="4"/>
  <c r="L357" i="4"/>
  <c r="L355" i="4"/>
  <c r="L353" i="4"/>
  <c r="L351" i="4"/>
  <c r="L349" i="4"/>
  <c r="L347" i="4"/>
  <c r="L345" i="4"/>
  <c r="L343" i="4"/>
  <c r="L341" i="4"/>
  <c r="L339" i="4"/>
  <c r="L337" i="4"/>
  <c r="L335" i="4"/>
  <c r="L333" i="4"/>
  <c r="L331" i="4"/>
  <c r="L330" i="4"/>
  <c r="L328" i="4"/>
  <c r="L326" i="4"/>
  <c r="L324" i="4"/>
  <c r="L322" i="4"/>
  <c r="L320" i="4"/>
  <c r="L318" i="4"/>
  <c r="L315" i="4"/>
  <c r="L313" i="4"/>
  <c r="L311" i="4"/>
  <c r="L309" i="4"/>
  <c r="L307" i="4"/>
  <c r="L305" i="4"/>
  <c r="L303" i="4"/>
  <c r="L301" i="4"/>
  <c r="L299" i="4"/>
  <c r="L297" i="4"/>
  <c r="L295" i="4"/>
  <c r="L293" i="4"/>
  <c r="L291" i="4"/>
  <c r="L289" i="4"/>
  <c r="L287" i="4"/>
  <c r="L285" i="4"/>
  <c r="L283" i="4"/>
  <c r="L281" i="4"/>
  <c r="L279" i="4"/>
  <c r="L277" i="4"/>
  <c r="L275" i="4"/>
  <c r="L273" i="4"/>
  <c r="L271" i="4"/>
  <c r="L269" i="4"/>
  <c r="L268" i="4"/>
  <c r="L249" i="4"/>
  <c r="L247" i="4"/>
  <c r="L245" i="4"/>
  <c r="L243" i="4"/>
  <c r="L241" i="4"/>
  <c r="L239" i="4"/>
  <c r="L237" i="4"/>
  <c r="L235" i="4"/>
  <c r="L233" i="4"/>
  <c r="L231" i="4"/>
  <c r="L229" i="4"/>
  <c r="L227" i="4"/>
  <c r="L225" i="4"/>
  <c r="L223" i="4"/>
  <c r="L221" i="4"/>
  <c r="L219" i="4"/>
  <c r="L217" i="4"/>
  <c r="L215" i="4"/>
  <c r="L213" i="4"/>
  <c r="L211" i="4"/>
  <c r="L209" i="4"/>
  <c r="L207" i="4"/>
  <c r="L205" i="4"/>
  <c r="L203" i="4"/>
  <c r="L201" i="4"/>
  <c r="L199" i="4"/>
  <c r="L197" i="4"/>
  <c r="L195" i="4"/>
  <c r="L193" i="4"/>
  <c r="L191" i="4"/>
  <c r="L189" i="4"/>
  <c r="L187" i="4"/>
  <c r="L185" i="4"/>
  <c r="L183" i="4"/>
  <c r="L181" i="4"/>
  <c r="L179" i="4"/>
  <c r="L177" i="4"/>
  <c r="L175" i="4"/>
  <c r="L173" i="4"/>
  <c r="L171" i="4"/>
  <c r="L169" i="4"/>
  <c r="L167" i="4"/>
  <c r="L165" i="4"/>
  <c r="L163" i="4"/>
  <c r="L161" i="4"/>
  <c r="L159" i="4"/>
  <c r="L157" i="4"/>
  <c r="L155" i="4"/>
  <c r="L153" i="4"/>
  <c r="L151" i="4"/>
  <c r="L149" i="4"/>
  <c r="L147" i="4"/>
  <c r="L145" i="4"/>
  <c r="L143" i="4"/>
  <c r="L141" i="4"/>
  <c r="L139" i="4"/>
  <c r="L137" i="4"/>
  <c r="L135" i="4"/>
  <c r="L133" i="4"/>
  <c r="L131" i="4"/>
  <c r="L129" i="4"/>
  <c r="L127" i="4"/>
  <c r="L125" i="4"/>
  <c r="L123" i="4"/>
  <c r="L121" i="4"/>
  <c r="L119" i="4"/>
  <c r="L117" i="4"/>
  <c r="L115" i="4"/>
  <c r="L113" i="4"/>
  <c r="L110" i="4"/>
  <c r="L108" i="4"/>
  <c r="L106" i="4"/>
  <c r="L104" i="4"/>
  <c r="L102" i="4"/>
  <c r="L100" i="4"/>
  <c r="L98" i="4"/>
  <c r="L96" i="4"/>
  <c r="L94" i="4"/>
  <c r="L92" i="4"/>
  <c r="L90" i="4"/>
  <c r="L88" i="4"/>
  <c r="L86" i="4"/>
  <c r="L84" i="4"/>
  <c r="L82" i="4"/>
  <c r="L80" i="4"/>
  <c r="L78" i="4"/>
  <c r="L76" i="4"/>
  <c r="L74" i="4"/>
  <c r="L72" i="4"/>
  <c r="L70" i="4"/>
  <c r="L68" i="4"/>
  <c r="L66" i="4"/>
  <c r="L64" i="4"/>
  <c r="L62" i="4"/>
  <c r="L60" i="4"/>
  <c r="L58" i="4"/>
  <c r="L56" i="4"/>
  <c r="L54" i="4"/>
  <c r="L52" i="4"/>
  <c r="L50" i="4"/>
  <c r="L48" i="4"/>
  <c r="L46" i="4"/>
  <c r="L44" i="4"/>
  <c r="L43" i="4"/>
  <c r="L41" i="4"/>
  <c r="L39" i="4"/>
  <c r="L37" i="4"/>
  <c r="L35" i="4"/>
  <c r="L33" i="4"/>
  <c r="L31" i="4"/>
  <c r="L29" i="4"/>
  <c r="L27" i="4"/>
  <c r="L25" i="4"/>
  <c r="L23" i="4"/>
  <c r="L21" i="4"/>
  <c r="L19" i="4"/>
  <c r="L17" i="4"/>
  <c r="L15" i="4"/>
  <c r="L13" i="4"/>
  <c r="L11" i="4"/>
  <c r="L9" i="4"/>
  <c r="L7" i="4"/>
  <c r="L5" i="4"/>
  <c r="K704" i="4"/>
  <c r="J704" i="4"/>
  <c r="L704" i="4" l="1"/>
</calcChain>
</file>

<file path=xl/sharedStrings.xml><?xml version="1.0" encoding="utf-8"?>
<sst xmlns="http://schemas.openxmlformats.org/spreadsheetml/2006/main" count="5303" uniqueCount="1407">
  <si>
    <t>Código</t>
  </si>
  <si>
    <t>Nombre</t>
  </si>
  <si>
    <t>Apellidos</t>
  </si>
  <si>
    <t>NIF/CIF</t>
  </si>
  <si>
    <t>Teléfono</t>
  </si>
  <si>
    <t>E-mail</t>
  </si>
  <si>
    <t>Dirección</t>
  </si>
  <si>
    <t>Código Postal</t>
  </si>
  <si>
    <t>Población</t>
  </si>
  <si>
    <t>Provincia</t>
  </si>
  <si>
    <t>Nombre fiscal</t>
  </si>
  <si>
    <t>Precio de venta</t>
  </si>
  <si>
    <t>Existencias mínimas</t>
  </si>
  <si>
    <t>Existencias iniciales</t>
  </si>
  <si>
    <t>Artículo (nombre)</t>
  </si>
  <si>
    <t>Artículo (código)</t>
  </si>
  <si>
    <t>Cantidad</t>
  </si>
  <si>
    <t>Precio</t>
  </si>
  <si>
    <t>Fecha</t>
  </si>
  <si>
    <t>Proveedor (código)</t>
  </si>
  <si>
    <t>Proveedor (nombre)</t>
  </si>
  <si>
    <t>Cliente (código)</t>
  </si>
  <si>
    <t>Cliente (nombre)</t>
  </si>
  <si>
    <t>Existencias actuales</t>
  </si>
  <si>
    <t>Ejemplo</t>
  </si>
  <si>
    <t>99999999A</t>
  </si>
  <si>
    <t>cliente@ejemplo.com</t>
  </si>
  <si>
    <t>Calle 1</t>
  </si>
  <si>
    <t>Ejemplo Cliente</t>
  </si>
  <si>
    <t>11111111Z</t>
  </si>
  <si>
    <t>proveedor@ejemplo.com</t>
  </si>
  <si>
    <t>Calle 9</t>
  </si>
  <si>
    <t>Ejemplo Proveedor</t>
  </si>
  <si>
    <t>Entradas</t>
  </si>
  <si>
    <t>Salidas</t>
  </si>
  <si>
    <t>ALDIMI</t>
  </si>
  <si>
    <t>Almacen Banco de Alimentos</t>
  </si>
  <si>
    <t>Gloria</t>
  </si>
  <si>
    <t>Jorge Bustamante</t>
  </si>
  <si>
    <t>ALBERGUE</t>
  </si>
  <si>
    <t>FLORA Y FAUNA</t>
  </si>
  <si>
    <t>Arverja partida 500 gr</t>
  </si>
  <si>
    <t>Avena 150 gr</t>
  </si>
  <si>
    <t>Garbanzo 500gr</t>
  </si>
  <si>
    <t>Huevos</t>
  </si>
  <si>
    <t>Lenteja 500 gr</t>
  </si>
  <si>
    <t>Oregano 500 gr</t>
  </si>
  <si>
    <t>Paneton</t>
  </si>
  <si>
    <t>Aceite</t>
  </si>
  <si>
    <t>Arroz</t>
  </si>
  <si>
    <t>Atun</t>
  </si>
  <si>
    <t>Avena</t>
  </si>
  <si>
    <t>Azucar</t>
  </si>
  <si>
    <t>Vinagre</t>
  </si>
  <si>
    <t>Azucar rubia</t>
  </si>
  <si>
    <t>Azucar Rubia</t>
  </si>
  <si>
    <t>Azucar blanca</t>
  </si>
  <si>
    <t>Infusion</t>
  </si>
  <si>
    <t>Cacao</t>
  </si>
  <si>
    <t>Café</t>
  </si>
  <si>
    <t>Cebada</t>
  </si>
  <si>
    <t>Chocolate</t>
  </si>
  <si>
    <t>Chuño</t>
  </si>
  <si>
    <t>Cola de Caballo</t>
  </si>
  <si>
    <t>Cremas</t>
  </si>
  <si>
    <t>Conserva de fruta</t>
  </si>
  <si>
    <t>Lata de cebada</t>
  </si>
  <si>
    <t xml:space="preserve">Fideo </t>
  </si>
  <si>
    <t>Flan</t>
  </si>
  <si>
    <t>Menestras</t>
  </si>
  <si>
    <t>Gelatina</t>
  </si>
  <si>
    <t>Harina</t>
  </si>
  <si>
    <t>Leche</t>
  </si>
  <si>
    <t>Especies</t>
  </si>
  <si>
    <t>Leche condensada</t>
  </si>
  <si>
    <t>Cocoa</t>
  </si>
  <si>
    <t>Fideos</t>
  </si>
  <si>
    <t>Maizena</t>
  </si>
  <si>
    <t xml:space="preserve">Mazamorra </t>
  </si>
  <si>
    <t>Mermelada</t>
  </si>
  <si>
    <t>Salsa de Tomate</t>
  </si>
  <si>
    <t>Sal</t>
  </si>
  <si>
    <t>Sillao</t>
  </si>
  <si>
    <t>Endulzante</t>
  </si>
  <si>
    <t xml:space="preserve">Proveedor </t>
  </si>
  <si>
    <t>Total</t>
  </si>
  <si>
    <t>Columna1</t>
  </si>
  <si>
    <t>Especie</t>
  </si>
  <si>
    <t>Especia</t>
  </si>
  <si>
    <t>Semillas</t>
  </si>
  <si>
    <t xml:space="preserve">Refrescos </t>
  </si>
  <si>
    <t>Frutos Secos</t>
  </si>
  <si>
    <t>Detalle del artículo2</t>
  </si>
  <si>
    <t>Nombre del artículo2</t>
  </si>
  <si>
    <t>Detalle</t>
  </si>
  <si>
    <t>Precio de venta2</t>
  </si>
  <si>
    <t>Arverja partida 1 kg</t>
  </si>
  <si>
    <t>Arverja partida 10 kg</t>
  </si>
  <si>
    <t>Arverja partida 5 kl gr</t>
  </si>
  <si>
    <t>Frejol Bayo 500 gr</t>
  </si>
  <si>
    <t>Frejol Bayo 1 kl</t>
  </si>
  <si>
    <t>Frejol Caballero 5 kl</t>
  </si>
  <si>
    <t>Frejol Caballero 500 gr</t>
  </si>
  <si>
    <t>Frejol Caballlero 1 kg</t>
  </si>
  <si>
    <t xml:space="preserve">Frejol Caballero 5 kg </t>
  </si>
  <si>
    <t>Frejol Caballlero 10 kl</t>
  </si>
  <si>
    <t>Frejol Canario 500 gr</t>
  </si>
  <si>
    <t>Frejol Canario 1  kg</t>
  </si>
  <si>
    <t>Frejol Canario  5kg</t>
  </si>
  <si>
    <t>Frejol Canario  10</t>
  </si>
  <si>
    <t>Frejol Castilla 500 gr</t>
  </si>
  <si>
    <t>Frejol Castilla 1 kg</t>
  </si>
  <si>
    <t>Frejol Castilla 5 kl</t>
  </si>
  <si>
    <t>Frejol Castilla 10 kg</t>
  </si>
  <si>
    <t>Frejol Negro 500 gr</t>
  </si>
  <si>
    <t>Frejol Negro  1 kl</t>
  </si>
  <si>
    <t>Frejol Negro 5 kl</t>
  </si>
  <si>
    <t>Frejol Panamito 500 gr</t>
  </si>
  <si>
    <t>Frejol Panamito 1 kg</t>
  </si>
  <si>
    <t>Frejol Panamito 5 kg</t>
  </si>
  <si>
    <t>Frejol Panamito 10 kg</t>
  </si>
  <si>
    <t>Frejol Rojo 500 gr</t>
  </si>
  <si>
    <t>Frejol Rojo 1 kl</t>
  </si>
  <si>
    <t>Garbanzo 1 kl</t>
  </si>
  <si>
    <t>Garbanzo 5 kg</t>
  </si>
  <si>
    <t>Garbanzo 10 kg</t>
  </si>
  <si>
    <t xml:space="preserve">Lenteja 1 kg </t>
  </si>
  <si>
    <t>Lenteja  5kg</t>
  </si>
  <si>
    <t xml:space="preserve">Lenteja 10 kg </t>
  </si>
  <si>
    <t xml:space="preserve">Lenteja 50 kg </t>
  </si>
  <si>
    <t>Lenteja BB 500 gr</t>
  </si>
  <si>
    <t xml:space="preserve">Lenteja BB  1 kl </t>
  </si>
  <si>
    <t>Lenteja BB 10 kl</t>
  </si>
  <si>
    <t>Lenteja BB 5 kl</t>
  </si>
  <si>
    <t>Maiz Cancha 500 gr</t>
  </si>
  <si>
    <t>Maiz Cancha 1 kl</t>
  </si>
  <si>
    <t>Mazi Cancha 5 kg</t>
  </si>
  <si>
    <t>Moron 500 gr</t>
  </si>
  <si>
    <t>Moron 1 kl</t>
  </si>
  <si>
    <t>Moron 5kl</t>
  </si>
  <si>
    <t>Moron 10 kl</t>
  </si>
  <si>
    <t>Moron partido 500 gr</t>
  </si>
  <si>
    <t>Pallar 500 gr</t>
  </si>
  <si>
    <t>Pallar 1 kl</t>
  </si>
  <si>
    <t xml:space="preserve">Pallar 5 kg </t>
  </si>
  <si>
    <t>Pallar 10 kg</t>
  </si>
  <si>
    <t>Pallar BB 10 kl</t>
  </si>
  <si>
    <t>Pallar BB 5 kl</t>
  </si>
  <si>
    <t>Pallar BB 500 gr</t>
  </si>
  <si>
    <t>Papa Seca 500 gr</t>
  </si>
  <si>
    <t>Papa Seca 1 kg</t>
  </si>
  <si>
    <t>Papa Seca 5 kg</t>
  </si>
  <si>
    <t>Papa Seca 10 kg</t>
  </si>
  <si>
    <t>Pop Corn 500 gr</t>
  </si>
  <si>
    <t>Pop Corn 1 kl</t>
  </si>
  <si>
    <t>Quinua 500 gr</t>
  </si>
  <si>
    <t>Quinua 1 kg</t>
  </si>
  <si>
    <t>Quinua 5 kg</t>
  </si>
  <si>
    <t>Quinua 10 kg</t>
  </si>
  <si>
    <t>Quinua Negra 500 gr</t>
  </si>
  <si>
    <t>Quinua Negra 1 kg</t>
  </si>
  <si>
    <t xml:space="preserve">Quinua Negra 5 kg </t>
  </si>
  <si>
    <t>Quinua Roja 500 gr</t>
  </si>
  <si>
    <t>Quinua Roja 1 kg</t>
  </si>
  <si>
    <t>Quinua tricolor 5 kg</t>
  </si>
  <si>
    <t>Quinua tricolor 10 kg</t>
  </si>
  <si>
    <t>Quinua tricolor 500 gr</t>
  </si>
  <si>
    <t>Soya 500 gr</t>
  </si>
  <si>
    <t>Soya 1 kg</t>
  </si>
  <si>
    <t>Soya  kg</t>
  </si>
  <si>
    <t>Trigo 500 gr</t>
  </si>
  <si>
    <t>Trigo 1 kg</t>
  </si>
  <si>
    <t>Trigo 5 kg</t>
  </si>
  <si>
    <t>Trigo 10 kg</t>
  </si>
  <si>
    <t>Trigo 50 kg</t>
  </si>
  <si>
    <t>Semola 200 gr</t>
  </si>
  <si>
    <t>semola 500 gr</t>
  </si>
  <si>
    <t>pop corn 10 kg</t>
  </si>
  <si>
    <t>Pop corn 5 kg</t>
  </si>
  <si>
    <t>Aceite Vegetal 900 ml</t>
  </si>
  <si>
    <t>Aceite Vegetal 3 lt</t>
  </si>
  <si>
    <t>Aceite Vegetal 5 lt</t>
  </si>
  <si>
    <t>Aceite Vegetal 20 lt</t>
  </si>
  <si>
    <t>Aceite Spray 200 ml</t>
  </si>
  <si>
    <t>Aceite Soya 900 ml</t>
  </si>
  <si>
    <t>Aceite Soya 5 lt</t>
  </si>
  <si>
    <t>Aceite Soya 20 lt</t>
  </si>
  <si>
    <t>Aceite de Oliva Virgen200 ml</t>
  </si>
  <si>
    <t>Aceite de Oliva Virgen 900 ml</t>
  </si>
  <si>
    <t>Aceite de Oliva Virgen 5 lt</t>
  </si>
  <si>
    <t>Aceite de OlivaExtra Virgen200 ml</t>
  </si>
  <si>
    <t>Aceite de Oliva Extra Virgen 900 ml</t>
  </si>
  <si>
    <t>Aceite de Oliva Extra Virgen 5 lt</t>
  </si>
  <si>
    <t>Aceite de Oliva Spray 200 ml</t>
  </si>
  <si>
    <t xml:space="preserve">Aceite de Olivia Virgen 200 ml </t>
  </si>
  <si>
    <t>Aceite de Coco 200 gr</t>
  </si>
  <si>
    <t>Aceite de Maiz 1 lt</t>
  </si>
  <si>
    <t>Aceite de Canola 1 lt</t>
  </si>
  <si>
    <t xml:space="preserve">Aceite de Canola Spray  170 </t>
  </si>
  <si>
    <t>Aceite 18 lt (balde)</t>
  </si>
  <si>
    <t>Filete de atun agua lata</t>
  </si>
  <si>
    <t>Conserva</t>
  </si>
  <si>
    <t>Filete de atun aceite lata</t>
  </si>
  <si>
    <t>Trozo de atun agua lata</t>
  </si>
  <si>
    <t>Trozo de atun aceite lata</t>
  </si>
  <si>
    <t>Lomo de atun aceite lata</t>
  </si>
  <si>
    <t>Lomo de atun agua lata</t>
  </si>
  <si>
    <t>Solido de caballa lata</t>
  </si>
  <si>
    <t>Filete de caballa lata</t>
  </si>
  <si>
    <t>Filete de Bonito lata</t>
  </si>
  <si>
    <t>Grated de Atun lata</t>
  </si>
  <si>
    <t>Sardina lata</t>
  </si>
  <si>
    <t>Piña en almibar 500 gr lata</t>
  </si>
  <si>
    <t>Duraznos en mitades 820 gr</t>
  </si>
  <si>
    <t>Peras mitades 820 gr</t>
  </si>
  <si>
    <t>Cocktail de fruta 820 gr</t>
  </si>
  <si>
    <t>Maiz dulce 425 gr</t>
  </si>
  <si>
    <t>Mix Verdura 184 gr</t>
  </si>
  <si>
    <t>Conserva arverjita 425 gr</t>
  </si>
  <si>
    <t>CHAMPIÑONES 400 gr</t>
  </si>
  <si>
    <t>ESPARRAGOS EN CONSERVA</t>
  </si>
  <si>
    <t>PALMITO CONSERVA</t>
  </si>
  <si>
    <t>Pure de manzana 370 gr</t>
  </si>
  <si>
    <t>Castaña de agua tajada 564 gr</t>
  </si>
  <si>
    <t>Frejol Negro 425 gr</t>
  </si>
  <si>
    <t>Frejol con tocino 454 gr</t>
  </si>
  <si>
    <t>Comida para gato</t>
  </si>
  <si>
    <t>Comida para perro</t>
  </si>
  <si>
    <t>Aceituna</t>
  </si>
  <si>
    <t>Cereal</t>
  </si>
  <si>
    <t>Avena de 200 gr variado</t>
  </si>
  <si>
    <t>Avena precocida 380 gr</t>
  </si>
  <si>
    <t>Avena 500 gr</t>
  </si>
  <si>
    <t>Avena  1 kl</t>
  </si>
  <si>
    <t>Avena 5 kl</t>
  </si>
  <si>
    <t>Avena 10 kl</t>
  </si>
  <si>
    <t>Avena con hojuelas 500 gr</t>
  </si>
  <si>
    <t>Avena con hojuela 900 gr</t>
  </si>
  <si>
    <t>Avena quinua 900 gr</t>
  </si>
  <si>
    <t>Avena Maca 500 gr</t>
  </si>
  <si>
    <t>Avena Kiwicha 500 gr</t>
  </si>
  <si>
    <t>Avena Chia 500 gr</t>
  </si>
  <si>
    <t xml:space="preserve">Arroz 500 gr </t>
  </si>
  <si>
    <t>Arroz 1 kg</t>
  </si>
  <si>
    <t xml:space="preserve">Arroz 5 kg </t>
  </si>
  <si>
    <t>Arroz 10 kg</t>
  </si>
  <si>
    <t>Arroz 50 kg</t>
  </si>
  <si>
    <t>Arroz Integral 500 gr</t>
  </si>
  <si>
    <t>Arroz Integral 1 kg</t>
  </si>
  <si>
    <t>Arroz Integral 5 kg</t>
  </si>
  <si>
    <t>Cereal 450 gr caja</t>
  </si>
  <si>
    <t>Cereal 700 gr caja</t>
  </si>
  <si>
    <t>Cereal 1kl bolsa</t>
  </si>
  <si>
    <t>Cereal en barra 253 gr caja 12 un</t>
  </si>
  <si>
    <t>Granola 200 gr bolsa</t>
  </si>
  <si>
    <t>Granola 500 gr</t>
  </si>
  <si>
    <t>Granola 1 kg</t>
  </si>
  <si>
    <t>Salvado de trigo 250 gr</t>
  </si>
  <si>
    <t>Salvado de trigo con harina linaza  750 gr</t>
  </si>
  <si>
    <t>Barra energetica</t>
  </si>
  <si>
    <t>Maizena 100 GR</t>
  </si>
  <si>
    <t>Maizena de 5 kg</t>
  </si>
  <si>
    <t>Maizena 10 kl</t>
  </si>
  <si>
    <t>Cebada kg</t>
  </si>
  <si>
    <t>Hojuela de Maiz 500</t>
  </si>
  <si>
    <t>Hojuela de Maiz 950 gr</t>
  </si>
  <si>
    <t>Arroz 25 kg</t>
  </si>
  <si>
    <t>linaza 1  kg</t>
  </si>
  <si>
    <t>Salvado de trigo 500 gr</t>
  </si>
  <si>
    <t>Azucar blanca 1kg</t>
  </si>
  <si>
    <t>Azucar blanca 5 kg</t>
  </si>
  <si>
    <t>Azucar blanca 2 kg</t>
  </si>
  <si>
    <t>Azucar blanca 10 kg</t>
  </si>
  <si>
    <t xml:space="preserve">Azucar blanca 50 kg </t>
  </si>
  <si>
    <t>Azucar rubia 1kg</t>
  </si>
  <si>
    <t>Azucar rubia 2 kg</t>
  </si>
  <si>
    <t>Azucar rubia 5 kg</t>
  </si>
  <si>
    <t>Azucar rubia 10 kg</t>
  </si>
  <si>
    <t xml:space="preserve">Azucar rubia 50 kg </t>
  </si>
  <si>
    <t>Azucar Impalpable 1kg</t>
  </si>
  <si>
    <t>Endulzante en polvo 200 und</t>
  </si>
  <si>
    <t>Endulzante 150 und</t>
  </si>
  <si>
    <t>Miel 300 gr</t>
  </si>
  <si>
    <t>Miel 500</t>
  </si>
  <si>
    <t>Miel 1lt</t>
  </si>
  <si>
    <t>Miel 5 lt</t>
  </si>
  <si>
    <t>Azucar rubia 25 kg</t>
  </si>
  <si>
    <t>Azucar blanca 25 kg</t>
  </si>
  <si>
    <t>Nibs Cacao 100 gr</t>
  </si>
  <si>
    <t>Instantaneo</t>
  </si>
  <si>
    <t>Polvo de cacao 200gr</t>
  </si>
  <si>
    <t>Chocolate Instantaneo 550 gr</t>
  </si>
  <si>
    <t>Cafe Instantaneo 180 gr</t>
  </si>
  <si>
    <t>Cafe Instantaneo Liofilizado 180 gr</t>
  </si>
  <si>
    <t>Café Instantaneo Variado sachet</t>
  </si>
  <si>
    <t>Café descafeinado</t>
  </si>
  <si>
    <t>Café granos 500 gr</t>
  </si>
  <si>
    <t>Café granos 1 kg</t>
  </si>
  <si>
    <t>Café en capsulas</t>
  </si>
  <si>
    <t>Milo 380 gr lata</t>
  </si>
  <si>
    <t>Milo 700 gr lata</t>
  </si>
  <si>
    <t>Milo 970  gr bolsa</t>
  </si>
  <si>
    <t>Fortificante Instantaneo 380</t>
  </si>
  <si>
    <t>Polvo Instantaneo Tarwi 200 gr</t>
  </si>
  <si>
    <t>Cereal Inst 7 semillas 400 gr</t>
  </si>
  <si>
    <t>Ecco Cebada 170 GR</t>
  </si>
  <si>
    <t>Cremas de Sopa Instantanea</t>
  </si>
  <si>
    <t>Sopas Instantaneas Instantaneas</t>
  </si>
  <si>
    <t>Harina s/preparar 180 gr</t>
  </si>
  <si>
    <t>Harina s/preparar 1kg</t>
  </si>
  <si>
    <t>Harina preparada 180 gr</t>
  </si>
  <si>
    <t>Harina trigo 10 kl</t>
  </si>
  <si>
    <t>Harina preparada 1 kg</t>
  </si>
  <si>
    <t>Chuño 180 gr</t>
  </si>
  <si>
    <t>Harina de quinua 200gr</t>
  </si>
  <si>
    <t>Harina de avena integral 200 gr</t>
  </si>
  <si>
    <t xml:space="preserve">Harina de almendra </t>
  </si>
  <si>
    <t>Harina de linaza 200 gr</t>
  </si>
  <si>
    <t>Harina de cañihua 200 gr</t>
  </si>
  <si>
    <t>Harina de maca 200 gr</t>
  </si>
  <si>
    <t>Harina de haba 200 gr</t>
  </si>
  <si>
    <t>Harina 7 semillas 200 gr</t>
  </si>
  <si>
    <t>Harina kiwicha 200 gr</t>
  </si>
  <si>
    <t xml:space="preserve">Harina sin gluten </t>
  </si>
  <si>
    <t>Harina de camote 200 gr</t>
  </si>
  <si>
    <t>Harina de arroz glutinoso 200 gr</t>
  </si>
  <si>
    <t>Harina de Maiz  PAN  1 kg</t>
  </si>
  <si>
    <t>Harina de trigo integral 500 gr</t>
  </si>
  <si>
    <t>Harina de yuca</t>
  </si>
  <si>
    <t>Harina de Mix fibras 200gr</t>
  </si>
  <si>
    <t>Polvo de hornear</t>
  </si>
  <si>
    <t>Bicarbonato</t>
  </si>
  <si>
    <t>Chuño 5kg</t>
  </si>
  <si>
    <t>Mayonesa ligth 850 gr</t>
  </si>
  <si>
    <t>Condimentos, Salsas, cremas</t>
  </si>
  <si>
    <t>Mayonesa 850 gr</t>
  </si>
  <si>
    <t>Sal cocina 1kg</t>
  </si>
  <si>
    <t>Sal Mesa 1kg</t>
  </si>
  <si>
    <t>Sal rosada 500 gr</t>
  </si>
  <si>
    <t>Sal rosada 1 kg</t>
  </si>
  <si>
    <t>Sal Maras 500 gr</t>
  </si>
  <si>
    <t>Sal Maras 1 kg</t>
  </si>
  <si>
    <t>Sal Parrillera</t>
  </si>
  <si>
    <t>Sillao 1 lt</t>
  </si>
  <si>
    <t>Sillao 500 ml</t>
  </si>
  <si>
    <t>Sillao 5 lt</t>
  </si>
  <si>
    <t xml:space="preserve">Canela molida </t>
  </si>
  <si>
    <t>Canela entera 2 KG</t>
  </si>
  <si>
    <t>Ketchup 200 gr</t>
  </si>
  <si>
    <t>Ketchup 850 gr</t>
  </si>
  <si>
    <t>Caldo Maggi carne</t>
  </si>
  <si>
    <t>Caldo Maggi gallina</t>
  </si>
  <si>
    <t>Vinagre blanco 500 ml</t>
  </si>
  <si>
    <t>Vinagre blanco 1 lt</t>
  </si>
  <si>
    <t>Vinagre blanco 5 lt</t>
  </si>
  <si>
    <t>Vinagre tinto 500 ml</t>
  </si>
  <si>
    <t>Vinagre tinto 1 lt</t>
  </si>
  <si>
    <t>Vinagre tinto 5 lt</t>
  </si>
  <si>
    <t>Vinagre balsamico  250 ml</t>
  </si>
  <si>
    <t>Vinagre balsamico 900 ml</t>
  </si>
  <si>
    <t>Polvo curcuma 25 gr</t>
  </si>
  <si>
    <t>Mezcla para apanar 96 gr</t>
  </si>
  <si>
    <t>Oregano 1 kl</t>
  </si>
  <si>
    <t>Salsa de tomate 145 gr</t>
  </si>
  <si>
    <t>Salsa de tomate 290 gr</t>
  </si>
  <si>
    <t>Salsa de tomate 400 gr</t>
  </si>
  <si>
    <t>Salsa tomate 1kl</t>
  </si>
  <si>
    <t>AJI PANCA SECO</t>
  </si>
  <si>
    <t>AJI MARISOL SECO</t>
  </si>
  <si>
    <t>AJI PAPRIKA</t>
  </si>
  <si>
    <t>AJINOMOTO</t>
  </si>
  <si>
    <t>PIMIENTA MOLIDA NEGRA</t>
  </si>
  <si>
    <t>PIMIENTA ENTERA NEGRA</t>
  </si>
  <si>
    <t>PIMIENTA CHAPA</t>
  </si>
  <si>
    <t>PIMIENTA MOLIDA BLANCA</t>
  </si>
  <si>
    <t>COMINO MOLIDO</t>
  </si>
  <si>
    <t>TUCO SIBARITA</t>
  </si>
  <si>
    <t>ACHIOTE EN GRANO</t>
  </si>
  <si>
    <t>PALILLO</t>
  </si>
  <si>
    <t>OREGANO MOLIDO</t>
  </si>
  <si>
    <t>OREGANO ENTERO SECO</t>
  </si>
  <si>
    <t>ESCENCIA DE VAINILLA</t>
  </si>
  <si>
    <t>clavo de olor kl</t>
  </si>
  <si>
    <t>LAUREL</t>
  </si>
  <si>
    <t>SALVIA</t>
  </si>
  <si>
    <t>TOMILLO</t>
  </si>
  <si>
    <t>ROMERO SECO</t>
  </si>
  <si>
    <t>ESTRAGON SECO</t>
  </si>
  <si>
    <t>BOLDO</t>
  </si>
  <si>
    <t>FINAS HIERBAS</t>
  </si>
  <si>
    <t>HONGO SECO</t>
  </si>
  <si>
    <t>CREMA DE ESPARRAGOS</t>
  </si>
  <si>
    <t>GERMINADOS</t>
  </si>
  <si>
    <t>Salsa Ostion</t>
  </si>
  <si>
    <t>Curcuma 250</t>
  </si>
  <si>
    <t>Curcuma 500</t>
  </si>
  <si>
    <t>canela entera 1 kg</t>
  </si>
  <si>
    <t>GELATINA 160 gr</t>
  </si>
  <si>
    <t>Gelatina, postres</t>
  </si>
  <si>
    <t>Gelatina 1 kl</t>
  </si>
  <si>
    <t xml:space="preserve">Gelatina 5 kg </t>
  </si>
  <si>
    <t>Gelatina 10 kg</t>
  </si>
  <si>
    <t xml:space="preserve">GELATINA DIETETICA </t>
  </si>
  <si>
    <t xml:space="preserve">Flan </t>
  </si>
  <si>
    <t>Pudin chocolate</t>
  </si>
  <si>
    <t xml:space="preserve">Chocolate de Taza </t>
  </si>
  <si>
    <t>Cacao en barra</t>
  </si>
  <si>
    <t>Mazamorra morada</t>
  </si>
  <si>
    <t>Fideos largos 500 gr</t>
  </si>
  <si>
    <t>Fideos largos 900 gr</t>
  </si>
  <si>
    <t>Fideos largos 5 kl</t>
  </si>
  <si>
    <t>Fideos cortos 250 gr</t>
  </si>
  <si>
    <t>Fideos cortos 500 gr</t>
  </si>
  <si>
    <t>Fideos cortos 1 kg</t>
  </si>
  <si>
    <t>Fideo corto 4kl</t>
  </si>
  <si>
    <t>Fideos cabello de angel</t>
  </si>
  <si>
    <t>Fideos chinos 500 gr</t>
  </si>
  <si>
    <t>Fideos chinos 1 kg</t>
  </si>
  <si>
    <t>Fideos largos sin gluten</t>
  </si>
  <si>
    <t>Fideos cortos sin gluten</t>
  </si>
  <si>
    <t>Pasta lasagña 500 gr</t>
  </si>
  <si>
    <t>Pasta lasagña 1 kg</t>
  </si>
  <si>
    <t>Fideos largos 10 kl</t>
  </si>
  <si>
    <t>Manzanilla 25 und</t>
  </si>
  <si>
    <t>Manzanilla 100 und</t>
  </si>
  <si>
    <t xml:space="preserve">Te 25 und </t>
  </si>
  <si>
    <t>Te 100 und</t>
  </si>
  <si>
    <t>Te canela 25 und</t>
  </si>
  <si>
    <t>Te canela 100</t>
  </si>
  <si>
    <t xml:space="preserve">Anis 25 und </t>
  </si>
  <si>
    <t>Anis 100 und</t>
  </si>
  <si>
    <t>Hierba Luisa 25 und</t>
  </si>
  <si>
    <t>Hierba Luisa 100 und</t>
  </si>
  <si>
    <t>Flor Jamaica 25 und</t>
  </si>
  <si>
    <t>Flor jamaica 100 und</t>
  </si>
  <si>
    <t>Infusion digestiva 25 und</t>
  </si>
  <si>
    <t>Infusion digestiva 50 und</t>
  </si>
  <si>
    <t>Infusion dulces sueños 25 und</t>
  </si>
  <si>
    <t>Infusion digestiva 100 und</t>
  </si>
  <si>
    <t>Muña 25 und</t>
  </si>
  <si>
    <t>Muña 100 und</t>
  </si>
  <si>
    <t>Coca 25 und</t>
  </si>
  <si>
    <t>Coca 100 und</t>
  </si>
  <si>
    <t>Variadas 25 und</t>
  </si>
  <si>
    <t>Variadas 100 und</t>
  </si>
  <si>
    <t>Te verde 50 und</t>
  </si>
  <si>
    <t>Te verde 100 und</t>
  </si>
  <si>
    <t>Te verde saborizado 25</t>
  </si>
  <si>
    <t>Mix de Te</t>
  </si>
  <si>
    <t>Te rojo 25 und</t>
  </si>
  <si>
    <t>Boldo 25 und</t>
  </si>
  <si>
    <t>Leche Evaporada  390 gr lata</t>
  </si>
  <si>
    <t>Lacteos</t>
  </si>
  <si>
    <t>Leche Ligth 390 lata</t>
  </si>
  <si>
    <t>Leche descramada 390 lata</t>
  </si>
  <si>
    <t>Leche 900 ml caja</t>
  </si>
  <si>
    <t>Leche Ligth 900 ml cJaja</t>
  </si>
  <si>
    <t>Leche descramada 900 mlcaja</t>
  </si>
  <si>
    <t>Leche niño 390 lata</t>
  </si>
  <si>
    <t>Lechet niño fresca 900 ml caja</t>
  </si>
  <si>
    <t>Leche condensada 387 g lata</t>
  </si>
  <si>
    <t>Leche chocolatada 900 ml</t>
  </si>
  <si>
    <t>Leche Fresca b900 ml botella</t>
  </si>
  <si>
    <t>Leche 390 bolsitarro</t>
  </si>
  <si>
    <t>Leche 390 bolsitarro ligth</t>
  </si>
  <si>
    <t>Leche 390 bolsitarro descremada</t>
  </si>
  <si>
    <t>Leche 390 bolsitarro niños</t>
  </si>
  <si>
    <t xml:space="preserve">Leche en polvo niños de 0 a 12 </t>
  </si>
  <si>
    <t>Leche en polvo 2 a 24 meses</t>
  </si>
  <si>
    <t>Leche complemento</t>
  </si>
  <si>
    <t>Leche para &lt; 60</t>
  </si>
  <si>
    <t>Yogurt 120g bebible</t>
  </si>
  <si>
    <t>Yogurt  1 lt</t>
  </si>
  <si>
    <t>Yogurt  2lt</t>
  </si>
  <si>
    <t>Leche evaporada tetra pack</t>
  </si>
  <si>
    <t>Mermelada 310 gr</t>
  </si>
  <si>
    <t>Mermelada, mantequilla</t>
  </si>
  <si>
    <t>Mermelada 700 gr</t>
  </si>
  <si>
    <t>Mermelada 950 gr</t>
  </si>
  <si>
    <t>Mermelada 180 gr</t>
  </si>
  <si>
    <t>Mantequilla 390 gr</t>
  </si>
  <si>
    <t>Mantequilla 180 gr</t>
  </si>
  <si>
    <t>Margarina 200 gr</t>
  </si>
  <si>
    <t>Margarina 450 gr</t>
  </si>
  <si>
    <t>Manteca 200 gr</t>
  </si>
  <si>
    <t>Mantequilla de mani 200 gr</t>
  </si>
  <si>
    <t>Mantequilla de almendras 200 gr</t>
  </si>
  <si>
    <t>Crema de avellana 200</t>
  </si>
  <si>
    <t>Crema de avellana 1 kg</t>
  </si>
  <si>
    <t>Cirope miel de maple</t>
  </si>
  <si>
    <t>Miel de caña azucar</t>
  </si>
  <si>
    <t>Mix de Fruto Secos 150 gr</t>
  </si>
  <si>
    <t>Frutos secos</t>
  </si>
  <si>
    <t>Pasas Morena</t>
  </si>
  <si>
    <t>Pasas Rubias</t>
  </si>
  <si>
    <t>Almedras</t>
  </si>
  <si>
    <t>Pecanas</t>
  </si>
  <si>
    <t>Guindones</t>
  </si>
  <si>
    <t>Habas</t>
  </si>
  <si>
    <t>Mani entero</t>
  </si>
  <si>
    <t>Mani Molido</t>
  </si>
  <si>
    <t>Pistachos</t>
  </si>
  <si>
    <t>Frutas deshidratadas</t>
  </si>
  <si>
    <t>Galletas vainilla</t>
  </si>
  <si>
    <t>Snacks</t>
  </si>
  <si>
    <t>Galletas saladas</t>
  </si>
  <si>
    <t>Galletas con cremas</t>
  </si>
  <si>
    <t>Galleta con cereales</t>
  </si>
  <si>
    <t>Galleta chocolate</t>
  </si>
  <si>
    <t>Gaseosa</t>
  </si>
  <si>
    <t>Gaseoa 1 1/2</t>
  </si>
  <si>
    <t>Gaseosa 3lt</t>
  </si>
  <si>
    <t>Crackelet</t>
  </si>
  <si>
    <t>Huevo pardo</t>
  </si>
  <si>
    <t>Huevo blanco</t>
  </si>
  <si>
    <t>Huevo doble yema</t>
  </si>
  <si>
    <t>Huevo de codorniz</t>
  </si>
  <si>
    <t>Pescado Tilapia a granel bolsa</t>
  </si>
  <si>
    <t>Pescado</t>
  </si>
  <si>
    <t>Pollo fresco entero</t>
  </si>
  <si>
    <t>Aves</t>
  </si>
  <si>
    <t>Pollo pechuga especial</t>
  </si>
  <si>
    <t>Pollo pechuga bandeja</t>
  </si>
  <si>
    <t>Pollo Sasami bandeJA</t>
  </si>
  <si>
    <t>Pollo piernas  c/ encuentro bandeja</t>
  </si>
  <si>
    <t>Pollo ligth</t>
  </si>
  <si>
    <t>Pollo trozado</t>
  </si>
  <si>
    <t>Higado de pollo</t>
  </si>
  <si>
    <t>Corazon de pollo</t>
  </si>
  <si>
    <t>Alas natural</t>
  </si>
  <si>
    <t>Alas con sabor</t>
  </si>
  <si>
    <t>Pollo saborizado</t>
  </si>
  <si>
    <t>Milanesa de pollo</t>
  </si>
  <si>
    <t>Enrollado de pollo</t>
  </si>
  <si>
    <t>Pavo de 7 kl</t>
  </si>
  <si>
    <t>Pavo de 9 kl</t>
  </si>
  <si>
    <t>Pavo 13 kg</t>
  </si>
  <si>
    <t>Pechuga de pavo</t>
  </si>
  <si>
    <t>Medallones de pavo</t>
  </si>
  <si>
    <t>Carne molida de pollo</t>
  </si>
  <si>
    <t>Muslo de pello</t>
  </si>
  <si>
    <t>Sangrecita de pollo</t>
  </si>
  <si>
    <t>Molleja de pollo</t>
  </si>
  <si>
    <t>Piernas de pollo</t>
  </si>
  <si>
    <t>Panceta con hueso</t>
  </si>
  <si>
    <t>Cerdo</t>
  </si>
  <si>
    <t>Panceta sin hueso</t>
  </si>
  <si>
    <t>chuleta de pierna</t>
  </si>
  <si>
    <t>chuleta de lomo</t>
  </si>
  <si>
    <t>bondiola</t>
  </si>
  <si>
    <t>Carne molida de cerdo</t>
  </si>
  <si>
    <t>Cerdo saborizado</t>
  </si>
  <si>
    <t>Bife de lomo</t>
  </si>
  <si>
    <t>Guiso de cerdo</t>
  </si>
  <si>
    <t xml:space="preserve">Enrollado de cerdo </t>
  </si>
  <si>
    <t>Asado de lomo</t>
  </si>
  <si>
    <t>Toma hoock de cerdo</t>
  </si>
  <si>
    <t xml:space="preserve">Costilla baby </t>
  </si>
  <si>
    <t>Vacuno</t>
  </si>
  <si>
    <t>Costillar</t>
  </si>
  <si>
    <t>Guiso</t>
  </si>
  <si>
    <t>Guiso especial</t>
  </si>
  <si>
    <t>Punta de pecho</t>
  </si>
  <si>
    <t>Bisteck</t>
  </si>
  <si>
    <t>Carne Molida</t>
  </si>
  <si>
    <t>Carne Molida especial</t>
  </si>
  <si>
    <t>Anticucho dr res 1/2 kg</t>
  </si>
  <si>
    <t>Anticucho de 1 kg</t>
  </si>
  <si>
    <t>Higado de res 500 gr</t>
  </si>
  <si>
    <t>Higado de res 1 kl</t>
  </si>
  <si>
    <t>Mondongo 500 gr</t>
  </si>
  <si>
    <t>Mondongo 1 kg</t>
  </si>
  <si>
    <t>Asado pejerrey</t>
  </si>
  <si>
    <t>Lomo Fino</t>
  </si>
  <si>
    <t>Picaña</t>
  </si>
  <si>
    <t>Entraña</t>
  </si>
  <si>
    <t>Fibe angosto</t>
  </si>
  <si>
    <t>Cuadril</t>
  </si>
  <si>
    <t>Fibe ancho</t>
  </si>
  <si>
    <t>Malaya</t>
  </si>
  <si>
    <t>Hamburguesas Speciales</t>
  </si>
  <si>
    <t>Osobuco</t>
  </si>
  <si>
    <t>Churrasco</t>
  </si>
  <si>
    <t>Pulmon</t>
  </si>
  <si>
    <t>Tomahook de carne</t>
  </si>
  <si>
    <t>Detergente en polvo 500 g</t>
  </si>
  <si>
    <t>Limpieza</t>
  </si>
  <si>
    <t>Detergente en polvo 900 g</t>
  </si>
  <si>
    <t>Detergente en polvo 2 Kg</t>
  </si>
  <si>
    <t>Detergente en polvo 4 Kg</t>
  </si>
  <si>
    <t>Detergente en polvo 5 Kg</t>
  </si>
  <si>
    <t>Detergente en polvo 10 Kg</t>
  </si>
  <si>
    <t>Detergente en polvo 14 kg</t>
  </si>
  <si>
    <t>Detergente en polvo 20 kg</t>
  </si>
  <si>
    <t>Detergente líquido 1 L</t>
  </si>
  <si>
    <t>Detergente líquido 1.5 L</t>
  </si>
  <si>
    <t>Detergente líquido 2.5  L</t>
  </si>
  <si>
    <t>Detergente líquido 2 L</t>
  </si>
  <si>
    <t>Detergente líquido 4 L</t>
  </si>
  <si>
    <t xml:space="preserve">Jabon liquido para ropa 4 L </t>
  </si>
  <si>
    <t>Detergente líquido 5 L</t>
  </si>
  <si>
    <t>Detergente líquido 10 L</t>
  </si>
  <si>
    <t>Detergente líquido 20 L</t>
  </si>
  <si>
    <t>Repuesto  detergente liquido 1.2 L</t>
  </si>
  <si>
    <t>Suavizante de ropa 800 ml</t>
  </si>
  <si>
    <t>Suavizante de ropa 1 L</t>
  </si>
  <si>
    <t>Suavizante de ropa 1.5 L</t>
  </si>
  <si>
    <t>Suavizante de ropa 2 L</t>
  </si>
  <si>
    <t>Suavizante de ropa 3 L</t>
  </si>
  <si>
    <t>Suavizante de ropa 5 L</t>
  </si>
  <si>
    <t>Lejía líquida 500 ml</t>
  </si>
  <si>
    <t>Lejía líquida  1 lt</t>
  </si>
  <si>
    <t>Lejía líquida 2 lt</t>
  </si>
  <si>
    <t>Lejía líquida  4 lt</t>
  </si>
  <si>
    <t>Lejía líquida 5 lt</t>
  </si>
  <si>
    <t>Lejía líquida 10 lt</t>
  </si>
  <si>
    <t>Lejía líquida 20 lt</t>
  </si>
  <si>
    <t>Lejía líquida color 500 ml</t>
  </si>
  <si>
    <t>Lejía líquida color 1 lt</t>
  </si>
  <si>
    <t>Lejía líquida color 2 lt</t>
  </si>
  <si>
    <t>Lejía líquida color 4 lt</t>
  </si>
  <si>
    <t>Quita mancha en polvo pequeño</t>
  </si>
  <si>
    <t>Quita mancha en polvo grabde</t>
  </si>
  <si>
    <t>Cuello puño ropa blanca</t>
  </si>
  <si>
    <t>jabon ropa barra</t>
  </si>
  <si>
    <t>Blanqueador en polvo chico</t>
  </si>
  <si>
    <t>Blanqueador en polvo grande</t>
  </si>
  <si>
    <t>Limpiador Multiusos Antibacteria 900 ml</t>
  </si>
  <si>
    <t>Limpiador Multiusos Antibacteria 2 lt</t>
  </si>
  <si>
    <t>Limpiador Multiusos Antibacteria 4 lt</t>
  </si>
  <si>
    <t>Limpiador Multiusos Antibacteria 5 Lt</t>
  </si>
  <si>
    <t>Limpiador Multiusos Antibacteria 10 Lt</t>
  </si>
  <si>
    <t>Limpiador Multiusos Antibacteria 20 Lt</t>
  </si>
  <si>
    <t>Desinfectante en aerosol 360 ml</t>
  </si>
  <si>
    <t>Limpiavidrios 500 ml</t>
  </si>
  <si>
    <t>Limpiavidrios en spray 650 ml</t>
  </si>
  <si>
    <t>Desengrasante líquido 500 ml</t>
  </si>
  <si>
    <t>Desengrasante en spray 650 ml</t>
  </si>
  <si>
    <t>Desengrasante líquido 1 Lt</t>
  </si>
  <si>
    <t>Desengrasante líquido 2 Lt</t>
  </si>
  <si>
    <t>Desengrasante líquido 4 Lt</t>
  </si>
  <si>
    <t>Sacasarro 500 ml</t>
  </si>
  <si>
    <t>Acido Limpiador Sacasarro 4 lt</t>
  </si>
  <si>
    <t>Acido Limpiador Sacasarro  1.8 lt</t>
  </si>
  <si>
    <t>Lavavajilla 400gr pote</t>
  </si>
  <si>
    <t>Lavavajilla 800gr pote</t>
  </si>
  <si>
    <t>Lavavajilla 500 ml repuesto</t>
  </si>
  <si>
    <t xml:space="preserve">Lavavajilla 300 ml </t>
  </si>
  <si>
    <t xml:space="preserve">Lavavajilla 500 ml </t>
  </si>
  <si>
    <t>Lavavajilla 1 lt</t>
  </si>
  <si>
    <t>Lavavajilla 2 lt</t>
  </si>
  <si>
    <t>Lavavajilla 4 lt</t>
  </si>
  <si>
    <t>Esponja multiusos para lavar</t>
  </si>
  <si>
    <t>Esponja espiral</t>
  </si>
  <si>
    <t>Paño microfibra</t>
  </si>
  <si>
    <t>Ambientador de Aerosol</t>
  </si>
  <si>
    <t>Paño de limpieza absorvenre</t>
  </si>
  <si>
    <t>Paño de limpieza delgado</t>
  </si>
  <si>
    <t>Paño amarillo Virurex</t>
  </si>
  <si>
    <t>Limpiador de crema multiusos</t>
  </si>
  <si>
    <t>Protecrtir de madera</t>
  </si>
  <si>
    <t>escoba con mango</t>
  </si>
  <si>
    <t>Cepillo de escoba</t>
  </si>
  <si>
    <t>Recojedor mango</t>
  </si>
  <si>
    <t>Paño trapeador</t>
  </si>
  <si>
    <t>Soda Caustica 1 lt</t>
  </si>
  <si>
    <t>Soda Caustica 5 lt</t>
  </si>
  <si>
    <t>Bolsa basura  30 LT</t>
  </si>
  <si>
    <t>Bolsa basura  50 LT</t>
  </si>
  <si>
    <t>Bolsa basura  70 LT</t>
  </si>
  <si>
    <t>Bolsa basura  180LT</t>
  </si>
  <si>
    <t>Bolsa basura  240 LT</t>
  </si>
  <si>
    <t>Papel higienico doble hoja</t>
  </si>
  <si>
    <t>Papel higienico triple hoja</t>
  </si>
  <si>
    <t>Papel higienico normal</t>
  </si>
  <si>
    <t xml:space="preserve">Servilletas x 50 </t>
  </si>
  <si>
    <t>Servilletas cortadas x 200</t>
  </si>
  <si>
    <t>Servilletas dobladas x 100</t>
  </si>
  <si>
    <t>Servilletas dobldas en 4 x 100</t>
  </si>
  <si>
    <t>Papel toalla rollo</t>
  </si>
  <si>
    <t>Papel absorvenre rollo</t>
  </si>
  <si>
    <t>Limpiador de porcelanato 1l</t>
  </si>
  <si>
    <t>Limpiador de porcelanato 4 lt</t>
  </si>
  <si>
    <t>Limpiador de porcelanato 10 l</t>
  </si>
  <si>
    <t>+</t>
  </si>
  <si>
    <t>Aceite de oliva 4 lt</t>
  </si>
  <si>
    <t>Desinfectante 4lt</t>
  </si>
  <si>
    <t>Chorizo Finas Hierbas x4</t>
  </si>
  <si>
    <t>Chorizo Parrillero x 4</t>
  </si>
  <si>
    <t>Embutidos</t>
  </si>
  <si>
    <t>Chorizo Preco x 4</t>
  </si>
  <si>
    <t>Hot dog de pollo x 250 gr</t>
  </si>
  <si>
    <t>Aldimi</t>
  </si>
  <si>
    <t>0001ME</t>
  </si>
  <si>
    <t>0090AC</t>
  </si>
  <si>
    <t>0092AC</t>
  </si>
  <si>
    <t>0091AC</t>
  </si>
  <si>
    <t>0093AC</t>
  </si>
  <si>
    <t>0094AC</t>
  </si>
  <si>
    <t>0095AC</t>
  </si>
  <si>
    <t>0096AC</t>
  </si>
  <si>
    <t>0097AC</t>
  </si>
  <si>
    <t>0105AC</t>
  </si>
  <si>
    <t>0395LA</t>
  </si>
  <si>
    <t>0396LA</t>
  </si>
  <si>
    <t>0397LA</t>
  </si>
  <si>
    <t>0263CN</t>
  </si>
  <si>
    <t>0264CN</t>
  </si>
  <si>
    <t>0265CN</t>
  </si>
  <si>
    <t>0266CN</t>
  </si>
  <si>
    <t>0267CN</t>
  </si>
  <si>
    <t>0268CN</t>
  </si>
  <si>
    <t>0269CN</t>
  </si>
  <si>
    <t>0270CN</t>
  </si>
  <si>
    <t>0363IN</t>
  </si>
  <si>
    <t>0364IN</t>
  </si>
  <si>
    <t>0115CO</t>
  </si>
  <si>
    <t>0271CN</t>
  </si>
  <si>
    <t>0098AC</t>
  </si>
  <si>
    <t>0099AC</t>
  </si>
  <si>
    <t>0100AC</t>
  </si>
  <si>
    <t>0101AC</t>
  </si>
  <si>
    <t>0102AC</t>
  </si>
  <si>
    <t>0493AV</t>
  </si>
  <si>
    <t>0494AV</t>
  </si>
  <si>
    <t>0495AV</t>
  </si>
  <si>
    <t>0496AV</t>
  </si>
  <si>
    <t>0497AV</t>
  </si>
  <si>
    <t>0498AV</t>
  </si>
  <si>
    <t>0499AV</t>
  </si>
  <si>
    <t>0500AV</t>
  </si>
  <si>
    <t>0501AV</t>
  </si>
  <si>
    <t>0502AV</t>
  </si>
  <si>
    <t>0503AV</t>
  </si>
  <si>
    <t>0504AV</t>
  </si>
  <si>
    <t>0505AV</t>
  </si>
  <si>
    <t>0506AV</t>
  </si>
  <si>
    <t>0507AV</t>
  </si>
  <si>
    <t>0508AV</t>
  </si>
  <si>
    <t>0509AV</t>
  </si>
  <si>
    <t>0510AV</t>
  </si>
  <si>
    <t>0511AV</t>
  </si>
  <si>
    <t>0512AV</t>
  </si>
  <si>
    <t>0513AV</t>
  </si>
  <si>
    <t>0514AV</t>
  </si>
  <si>
    <t>0515AV</t>
  </si>
  <si>
    <t>0516AV</t>
  </si>
  <si>
    <t>0517AV</t>
  </si>
  <si>
    <t>0185AZ</t>
  </si>
  <si>
    <t>0186AZ</t>
  </si>
  <si>
    <t>0187AZ</t>
  </si>
  <si>
    <t>0188AZ</t>
  </si>
  <si>
    <t>0189AZ</t>
  </si>
  <si>
    <t>0190AZ</t>
  </si>
  <si>
    <t>0191AZ</t>
  </si>
  <si>
    <t>0192AZ</t>
  </si>
  <si>
    <t>0193AZ</t>
  </si>
  <si>
    <t>0194AZ</t>
  </si>
  <si>
    <t>0195AZ</t>
  </si>
  <si>
    <t>0196AZ</t>
  </si>
  <si>
    <t>0197AZ</t>
  </si>
  <si>
    <t>0198AZ</t>
  </si>
  <si>
    <t>0199AZ</t>
  </si>
  <si>
    <t>0200AZ</t>
  </si>
  <si>
    <t>0201AZ</t>
  </si>
  <si>
    <t>0202AZ</t>
  </si>
  <si>
    <t>0203AZ</t>
  </si>
  <si>
    <t>0204AZ</t>
  </si>
  <si>
    <t>0205AZ</t>
  </si>
  <si>
    <t>0206AZ</t>
  </si>
  <si>
    <t>0207AZ</t>
  </si>
  <si>
    <t>0208AZ</t>
  </si>
  <si>
    <t>0209AZ</t>
  </si>
  <si>
    <t>0518CE</t>
  </si>
  <si>
    <t>0519CE</t>
  </si>
  <si>
    <t>0520CE</t>
  </si>
  <si>
    <t>0521CE</t>
  </si>
  <si>
    <t>0522CE</t>
  </si>
  <si>
    <t>0523CE</t>
  </si>
  <si>
    <t>0524CE</t>
  </si>
  <si>
    <t>0525CE</t>
  </si>
  <si>
    <t>0526CE</t>
  </si>
  <si>
    <t>0527CE</t>
  </si>
  <si>
    <t>0529CE</t>
  </si>
  <si>
    <t>0528CE</t>
  </si>
  <si>
    <t>0145CR</t>
  </si>
  <si>
    <t>0146CR</t>
  </si>
  <si>
    <t>0147CR</t>
  </si>
  <si>
    <t>0149CR</t>
  </si>
  <si>
    <t>0148CR</t>
  </si>
  <si>
    <t>0150CR</t>
  </si>
  <si>
    <t>0151CR</t>
  </si>
  <si>
    <t>0152CR</t>
  </si>
  <si>
    <t>0153CR</t>
  </si>
  <si>
    <t>0154CR</t>
  </si>
  <si>
    <t>0155CR</t>
  </si>
  <si>
    <t>0156CR</t>
  </si>
  <si>
    <t>0157CR</t>
  </si>
  <si>
    <t>0158CR</t>
  </si>
  <si>
    <t>0159CR</t>
  </si>
  <si>
    <t>0160CR</t>
  </si>
  <si>
    <t>0161CR</t>
  </si>
  <si>
    <t>0162CR</t>
  </si>
  <si>
    <t>0163CR</t>
  </si>
  <si>
    <t>0164CR</t>
  </si>
  <si>
    <t>0165CR</t>
  </si>
  <si>
    <t>0166CR</t>
  </si>
  <si>
    <t>0167CR</t>
  </si>
  <si>
    <t>0168CR</t>
  </si>
  <si>
    <t>0169CR</t>
  </si>
  <si>
    <t>0170CR</t>
  </si>
  <si>
    <t>0171CR</t>
  </si>
  <si>
    <t>0172CR</t>
  </si>
  <si>
    <t>0173CR</t>
  </si>
  <si>
    <t>0174CR</t>
  </si>
  <si>
    <t>0175CR</t>
  </si>
  <si>
    <t>0176CR</t>
  </si>
  <si>
    <t>0177CR</t>
  </si>
  <si>
    <t>0178CR</t>
  </si>
  <si>
    <t>0179CR</t>
  </si>
  <si>
    <t>0180CR</t>
  </si>
  <si>
    <t>0181CR</t>
  </si>
  <si>
    <t>0182CR</t>
  </si>
  <si>
    <t>0183CR</t>
  </si>
  <si>
    <t>0184CR</t>
  </si>
  <si>
    <t>0272CN</t>
  </si>
  <si>
    <t>0273CN</t>
  </si>
  <si>
    <t>0274CN</t>
  </si>
  <si>
    <t>0275CN</t>
  </si>
  <si>
    <t>0276CN</t>
  </si>
  <si>
    <t>0277CN</t>
  </si>
  <si>
    <t>0278CN</t>
  </si>
  <si>
    <t>0279CN</t>
  </si>
  <si>
    <t>0280CN</t>
  </si>
  <si>
    <t>0281CN</t>
  </si>
  <si>
    <t>0282CN</t>
  </si>
  <si>
    <t>0283CN</t>
  </si>
  <si>
    <t>0284CN</t>
  </si>
  <si>
    <t>0285CN</t>
  </si>
  <si>
    <t>0286CN</t>
  </si>
  <si>
    <t>0287CN</t>
  </si>
  <si>
    <t>0288CN</t>
  </si>
  <si>
    <t>0289CN</t>
  </si>
  <si>
    <t>0290CN</t>
  </si>
  <si>
    <t>0291CN</t>
  </si>
  <si>
    <t>0292CN</t>
  </si>
  <si>
    <t>0293CN</t>
  </si>
  <si>
    <t>0294CN</t>
  </si>
  <si>
    <t>0295CN</t>
  </si>
  <si>
    <t>0296CN</t>
  </si>
  <si>
    <t>0297CN</t>
  </si>
  <si>
    <t>0298CN</t>
  </si>
  <si>
    <t>0299CN</t>
  </si>
  <si>
    <t>0300CN</t>
  </si>
  <si>
    <t>0301CN</t>
  </si>
  <si>
    <t>0302CN</t>
  </si>
  <si>
    <t>0303CN</t>
  </si>
  <si>
    <t>0304CN</t>
  </si>
  <si>
    <t>0305CN</t>
  </si>
  <si>
    <t>0306CN</t>
  </si>
  <si>
    <t>0307CN</t>
  </si>
  <si>
    <t>0308CN</t>
  </si>
  <si>
    <t>0309CN</t>
  </si>
  <si>
    <t>0310CN</t>
  </si>
  <si>
    <t>0311CN</t>
  </si>
  <si>
    <t>0312CN</t>
  </si>
  <si>
    <t>0313CN</t>
  </si>
  <si>
    <t>03014CN</t>
  </si>
  <si>
    <t>0315CN</t>
  </si>
  <si>
    <t>0316CN</t>
  </si>
  <si>
    <t>0317CN</t>
  </si>
  <si>
    <t>0318CN</t>
  </si>
  <si>
    <t>0319CN</t>
  </si>
  <si>
    <t>0320CN</t>
  </si>
  <si>
    <t>0321CN</t>
  </si>
  <si>
    <t>0322CN</t>
  </si>
  <si>
    <t>0323CN</t>
  </si>
  <si>
    <t>0324CN</t>
  </si>
  <si>
    <t>0325CN</t>
  </si>
  <si>
    <t>0326CN</t>
  </si>
  <si>
    <t>0327CN</t>
  </si>
  <si>
    <t>0328CN</t>
  </si>
  <si>
    <t>0329CN</t>
  </si>
  <si>
    <t>0330CN</t>
  </si>
  <si>
    <t>0331CN</t>
  </si>
  <si>
    <t>0116CO</t>
  </si>
  <si>
    <t>0117CO</t>
  </si>
  <si>
    <t>0118CO</t>
  </si>
  <si>
    <t>0119CO</t>
  </si>
  <si>
    <t>0120CO</t>
  </si>
  <si>
    <t>0121CO</t>
  </si>
  <si>
    <t>0122CO</t>
  </si>
  <si>
    <t>0123CO</t>
  </si>
  <si>
    <t>0124CO</t>
  </si>
  <si>
    <t>0126CO</t>
  </si>
  <si>
    <t>0125CO</t>
  </si>
  <si>
    <t>0127CO</t>
  </si>
  <si>
    <t>0128CO</t>
  </si>
  <si>
    <t>0129CO</t>
  </si>
  <si>
    <t>0130CO</t>
  </si>
  <si>
    <t>0131CO</t>
  </si>
  <si>
    <t>0132CO</t>
  </si>
  <si>
    <t>0133CO</t>
  </si>
  <si>
    <t>0134CO</t>
  </si>
  <si>
    <t>0135CO</t>
  </si>
  <si>
    <t>0136CO</t>
  </si>
  <si>
    <t>0137CO</t>
  </si>
  <si>
    <t>0138CO</t>
  </si>
  <si>
    <t>0139CO</t>
  </si>
  <si>
    <t>0140CO</t>
  </si>
  <si>
    <t>0141CO</t>
  </si>
  <si>
    <t>0142CO</t>
  </si>
  <si>
    <t>0143CO</t>
  </si>
  <si>
    <t>0144CO</t>
  </si>
  <si>
    <t>0670EM</t>
  </si>
  <si>
    <t>0671EM</t>
  </si>
  <si>
    <t>0344FI</t>
  </si>
  <si>
    <t>0345FI</t>
  </si>
  <si>
    <t>0346FI</t>
  </si>
  <si>
    <t>0347FI</t>
  </si>
  <si>
    <t>0348FI</t>
  </si>
  <si>
    <t>0349FI</t>
  </si>
  <si>
    <t>0350FI</t>
  </si>
  <si>
    <t>0351FI</t>
  </si>
  <si>
    <t>0352FI</t>
  </si>
  <si>
    <t>0353FI</t>
  </si>
  <si>
    <t>0354FI</t>
  </si>
  <si>
    <t>0355FI</t>
  </si>
  <si>
    <t>0356FI</t>
  </si>
  <si>
    <t>0357FI</t>
  </si>
  <si>
    <t>0358FI</t>
  </si>
  <si>
    <t>0359FI</t>
  </si>
  <si>
    <t>0360FI</t>
  </si>
  <si>
    <t>0361FI</t>
  </si>
  <si>
    <t>0362FI</t>
  </si>
  <si>
    <t>0437FS</t>
  </si>
  <si>
    <t>0438FS</t>
  </si>
  <si>
    <t>0439FS</t>
  </si>
  <si>
    <t>0440FS</t>
  </si>
  <si>
    <t>0441FS</t>
  </si>
  <si>
    <t>0442FS</t>
  </si>
  <si>
    <t>0443FS</t>
  </si>
  <si>
    <t>0444FS</t>
  </si>
  <si>
    <t>0445FS</t>
  </si>
  <si>
    <t>0447FS</t>
  </si>
  <si>
    <t>0446FS</t>
  </si>
  <si>
    <t>0449FS</t>
  </si>
  <si>
    <t>0450FS</t>
  </si>
  <si>
    <t>0448FS</t>
  </si>
  <si>
    <t>0332GE</t>
  </si>
  <si>
    <t>0333GE</t>
  </si>
  <si>
    <t>0334GE</t>
  </si>
  <si>
    <t>0335GE</t>
  </si>
  <si>
    <t>0336GE</t>
  </si>
  <si>
    <t>0337GE</t>
  </si>
  <si>
    <t>0338GE</t>
  </si>
  <si>
    <t>0339GE</t>
  </si>
  <si>
    <t>0340GE</t>
  </si>
  <si>
    <t>0341GE</t>
  </si>
  <si>
    <t>0342GE</t>
  </si>
  <si>
    <t>0343GE</t>
  </si>
  <si>
    <t>0234HA</t>
  </si>
  <si>
    <t>0235HA</t>
  </si>
  <si>
    <t>0236HA</t>
  </si>
  <si>
    <t>0237HA</t>
  </si>
  <si>
    <t>0238HA</t>
  </si>
  <si>
    <t>0239HA</t>
  </si>
  <si>
    <t>0240HA</t>
  </si>
  <si>
    <t>0241HA</t>
  </si>
  <si>
    <t>0242HA</t>
  </si>
  <si>
    <t>0243HA</t>
  </si>
  <si>
    <t>0244HA</t>
  </si>
  <si>
    <t>0245HA</t>
  </si>
  <si>
    <t>0246HA</t>
  </si>
  <si>
    <t>0247HA</t>
  </si>
  <si>
    <t>0248HA</t>
  </si>
  <si>
    <t>0249HA</t>
  </si>
  <si>
    <t>0250HA</t>
  </si>
  <si>
    <t>0251HA</t>
  </si>
  <si>
    <t>0253HA</t>
  </si>
  <si>
    <t>0254HA</t>
  </si>
  <si>
    <t>0255HA</t>
  </si>
  <si>
    <t>0256HA</t>
  </si>
  <si>
    <t>0257HA</t>
  </si>
  <si>
    <t>0258HA</t>
  </si>
  <si>
    <t>0259HA</t>
  </si>
  <si>
    <t>0260HA</t>
  </si>
  <si>
    <t>0261HA</t>
  </si>
  <si>
    <t>0262HA</t>
  </si>
  <si>
    <t>0474HU</t>
  </si>
  <si>
    <t>0475HU</t>
  </si>
  <si>
    <t>0476HU</t>
  </si>
  <si>
    <t>0477HU</t>
  </si>
  <si>
    <t>0478HU</t>
  </si>
  <si>
    <t>0479HU</t>
  </si>
  <si>
    <t>0480HU</t>
  </si>
  <si>
    <t>0481HU</t>
  </si>
  <si>
    <t>0482HU</t>
  </si>
  <si>
    <t>0365IN</t>
  </si>
  <si>
    <t>0366IN</t>
  </si>
  <si>
    <t>0367IN</t>
  </si>
  <si>
    <t>0368IN</t>
  </si>
  <si>
    <t>0369IN</t>
  </si>
  <si>
    <t>0370IN</t>
  </si>
  <si>
    <t>0371IN</t>
  </si>
  <si>
    <t>0372IN</t>
  </si>
  <si>
    <t>0373IN</t>
  </si>
  <si>
    <t>0374IN</t>
  </si>
  <si>
    <t>0375IN</t>
  </si>
  <si>
    <t>0376IN</t>
  </si>
  <si>
    <t>0377IN</t>
  </si>
  <si>
    <t>0378IN</t>
  </si>
  <si>
    <t>0379IN</t>
  </si>
  <si>
    <t>0380IN</t>
  </si>
  <si>
    <t>0381IN</t>
  </si>
  <si>
    <t>0382IN</t>
  </si>
  <si>
    <t>0383IN</t>
  </si>
  <si>
    <t>0384IN</t>
  </si>
  <si>
    <t>0210IN</t>
  </si>
  <si>
    <t>0211IN</t>
  </si>
  <si>
    <t>0212IN</t>
  </si>
  <si>
    <t>0213IN</t>
  </si>
  <si>
    <t>0214IN</t>
  </si>
  <si>
    <t>0215IN</t>
  </si>
  <si>
    <t>0216IN</t>
  </si>
  <si>
    <t>0217IN</t>
  </si>
  <si>
    <t>0218IN</t>
  </si>
  <si>
    <t>0219IN</t>
  </si>
  <si>
    <t>0220IN</t>
  </si>
  <si>
    <t>0221IN</t>
  </si>
  <si>
    <t>0222IN</t>
  </si>
  <si>
    <t>0223IN</t>
  </si>
  <si>
    <t>0224IN</t>
  </si>
  <si>
    <t>0225IN</t>
  </si>
  <si>
    <t>0226IN</t>
  </si>
  <si>
    <t>0227IN</t>
  </si>
  <si>
    <t>0228IN</t>
  </si>
  <si>
    <t>0229IN</t>
  </si>
  <si>
    <t>0230IN</t>
  </si>
  <si>
    <t>0231IN</t>
  </si>
  <si>
    <t>0232IN</t>
  </si>
  <si>
    <t>0233IN</t>
  </si>
  <si>
    <t>0398LA</t>
  </si>
  <si>
    <t>0399LA</t>
  </si>
  <si>
    <t>0400LA</t>
  </si>
  <si>
    <t>0401LA</t>
  </si>
  <si>
    <t>0402LA</t>
  </si>
  <si>
    <t>0403LA</t>
  </si>
  <si>
    <t>0404LA</t>
  </si>
  <si>
    <t>0405LA</t>
  </si>
  <si>
    <t>0406LA</t>
  </si>
  <si>
    <t>0407LA</t>
  </si>
  <si>
    <t>0408LA</t>
  </si>
  <si>
    <t>0409LA</t>
  </si>
  <si>
    <t>0410LA</t>
  </si>
  <si>
    <t>0411LA</t>
  </si>
  <si>
    <t>0412LA</t>
  </si>
  <si>
    <t>0413LA</t>
  </si>
  <si>
    <t>0414LA</t>
  </si>
  <si>
    <t>0415LA</t>
  </si>
  <si>
    <t>0416LA</t>
  </si>
  <si>
    <t>0417LA</t>
  </si>
  <si>
    <t>0561LI</t>
  </si>
  <si>
    <t>0562LI</t>
  </si>
  <si>
    <t>0563LI</t>
  </si>
  <si>
    <t>0564LI</t>
  </si>
  <si>
    <t>0565LI</t>
  </si>
  <si>
    <t>0566LI</t>
  </si>
  <si>
    <t>0567LI</t>
  </si>
  <si>
    <t>0568LI</t>
  </si>
  <si>
    <t>0569LI</t>
  </si>
  <si>
    <t>0570LI</t>
  </si>
  <si>
    <t>0571LI</t>
  </si>
  <si>
    <t>0572LI</t>
  </si>
  <si>
    <t>0573LI</t>
  </si>
  <si>
    <t>0574LI</t>
  </si>
  <si>
    <t>0575LI</t>
  </si>
  <si>
    <t>0576LI</t>
  </si>
  <si>
    <t>0577LI</t>
  </si>
  <si>
    <t>0578LI</t>
  </si>
  <si>
    <t>0579LI</t>
  </si>
  <si>
    <t>0580LI</t>
  </si>
  <si>
    <t>0581LI</t>
  </si>
  <si>
    <t>0582LI</t>
  </si>
  <si>
    <t>0583LI</t>
  </si>
  <si>
    <t>0584LI</t>
  </si>
  <si>
    <t>0585LI</t>
  </si>
  <si>
    <t>0586LI</t>
  </si>
  <si>
    <t>0587LI</t>
  </si>
  <si>
    <t>0588LI</t>
  </si>
  <si>
    <t>0589LI</t>
  </si>
  <si>
    <t>0590LI</t>
  </si>
  <si>
    <t>0591LI</t>
  </si>
  <si>
    <t>0592LI</t>
  </si>
  <si>
    <t>0593LI</t>
  </si>
  <si>
    <t>0594LI</t>
  </si>
  <si>
    <t>0595LI</t>
  </si>
  <si>
    <t>0596LI</t>
  </si>
  <si>
    <t>0597LI</t>
  </si>
  <si>
    <t>0598LI</t>
  </si>
  <si>
    <t>0599LI</t>
  </si>
  <si>
    <t>0600LI</t>
  </si>
  <si>
    <t>0601LI</t>
  </si>
  <si>
    <t>0602LI</t>
  </si>
  <si>
    <t>0603LI</t>
  </si>
  <si>
    <t>0604LI</t>
  </si>
  <si>
    <t>0605LI</t>
  </si>
  <si>
    <t>0606LI</t>
  </si>
  <si>
    <t>0607LI</t>
  </si>
  <si>
    <t>0608LI</t>
  </si>
  <si>
    <t>0609LI</t>
  </si>
  <si>
    <t>0610LI</t>
  </si>
  <si>
    <t>0611LI</t>
  </si>
  <si>
    <t>0612LI</t>
  </si>
  <si>
    <t>0613LI</t>
  </si>
  <si>
    <t>0614LI</t>
  </si>
  <si>
    <t>0615LI</t>
  </si>
  <si>
    <t>0616LI</t>
  </si>
  <si>
    <t>0617LI</t>
  </si>
  <si>
    <t>0618LI</t>
  </si>
  <si>
    <t>0619LI</t>
  </si>
  <si>
    <t>0620LI</t>
  </si>
  <si>
    <t>0621LI</t>
  </si>
  <si>
    <t>0622LI</t>
  </si>
  <si>
    <t>0623LI</t>
  </si>
  <si>
    <t>0624LI</t>
  </si>
  <si>
    <t>0625LI</t>
  </si>
  <si>
    <t>0626LI</t>
  </si>
  <si>
    <t>0627LI</t>
  </si>
  <si>
    <t>0628LI</t>
  </si>
  <si>
    <t>0629LI</t>
  </si>
  <si>
    <t>0630LI</t>
  </si>
  <si>
    <t>0631LI</t>
  </si>
  <si>
    <t>0632LI</t>
  </si>
  <si>
    <t>0633LI</t>
  </si>
  <si>
    <t>0634LI</t>
  </si>
  <si>
    <t>0635LI</t>
  </si>
  <si>
    <t>0636LI</t>
  </si>
  <si>
    <t>0637LI</t>
  </si>
  <si>
    <t>0638LI</t>
  </si>
  <si>
    <t>0639LI</t>
  </si>
  <si>
    <t>0640LI</t>
  </si>
  <si>
    <t>0641LI</t>
  </si>
  <si>
    <t>0642LI</t>
  </si>
  <si>
    <t>0643LI</t>
  </si>
  <si>
    <t>0644LI</t>
  </si>
  <si>
    <t>0645LI</t>
  </si>
  <si>
    <t>0646LI</t>
  </si>
  <si>
    <t>0647LI</t>
  </si>
  <si>
    <t>0648LI</t>
  </si>
  <si>
    <t>0649LI</t>
  </si>
  <si>
    <t>0650LI</t>
  </si>
  <si>
    <t>0651LI</t>
  </si>
  <si>
    <t>0652LI</t>
  </si>
  <si>
    <t>0653LI</t>
  </si>
  <si>
    <t>0654LI</t>
  </si>
  <si>
    <t>0655LI</t>
  </si>
  <si>
    <t>0656LI</t>
  </si>
  <si>
    <t>0657LI</t>
  </si>
  <si>
    <t>0658LI</t>
  </si>
  <si>
    <t>0659LI</t>
  </si>
  <si>
    <t>0660LI</t>
  </si>
  <si>
    <t>0661LI</t>
  </si>
  <si>
    <t>0662LI</t>
  </si>
  <si>
    <t>0002ME</t>
  </si>
  <si>
    <t>0003ME</t>
  </si>
  <si>
    <t>0004ME</t>
  </si>
  <si>
    <t>0005ME</t>
  </si>
  <si>
    <t>0006ME</t>
  </si>
  <si>
    <t>0007ME</t>
  </si>
  <si>
    <t>0008ME</t>
  </si>
  <si>
    <t>0009ME</t>
  </si>
  <si>
    <t>0010ME</t>
  </si>
  <si>
    <t>0011ME</t>
  </si>
  <si>
    <t>0012ME</t>
  </si>
  <si>
    <t>0013ME</t>
  </si>
  <si>
    <t>0014ME</t>
  </si>
  <si>
    <t>0015ME</t>
  </si>
  <si>
    <t>0016ME</t>
  </si>
  <si>
    <t>0017ME</t>
  </si>
  <si>
    <t>0018ME</t>
  </si>
  <si>
    <t>0019ME</t>
  </si>
  <si>
    <t>0020ME</t>
  </si>
  <si>
    <t>0021ME</t>
  </si>
  <si>
    <t>0022ME</t>
  </si>
  <si>
    <t>0023ME</t>
  </si>
  <si>
    <t>0024ME</t>
  </si>
  <si>
    <t>0025ME</t>
  </si>
  <si>
    <t>0026ME</t>
  </si>
  <si>
    <t>0027ME</t>
  </si>
  <si>
    <t>0028ME</t>
  </si>
  <si>
    <t>0029ME</t>
  </si>
  <si>
    <t>0030ME</t>
  </si>
  <si>
    <t>0031ME</t>
  </si>
  <si>
    <t>0032ME</t>
  </si>
  <si>
    <t>0033ME</t>
  </si>
  <si>
    <t>0034ME</t>
  </si>
  <si>
    <t>0035ME</t>
  </si>
  <si>
    <t>0036ME</t>
  </si>
  <si>
    <t>0037ME</t>
  </si>
  <si>
    <t>0038ME</t>
  </si>
  <si>
    <t>0039ME</t>
  </si>
  <si>
    <t>0040ME</t>
  </si>
  <si>
    <t>0041ME</t>
  </si>
  <si>
    <t>0043ME</t>
  </si>
  <si>
    <t>0044ME</t>
  </si>
  <si>
    <t>0045ME</t>
  </si>
  <si>
    <t>0046ME</t>
  </si>
  <si>
    <t>0047ME</t>
  </si>
  <si>
    <t>0048ME</t>
  </si>
  <si>
    <t>0049ME</t>
  </si>
  <si>
    <t>0050ME</t>
  </si>
  <si>
    <t>0051ME</t>
  </si>
  <si>
    <t>0052ME</t>
  </si>
  <si>
    <t>0053ME</t>
  </si>
  <si>
    <t>0054ME</t>
  </si>
  <si>
    <t>0055ME</t>
  </si>
  <si>
    <t>0056ME</t>
  </si>
  <si>
    <t>0057ME</t>
  </si>
  <si>
    <t>0058ME</t>
  </si>
  <si>
    <t>0059ME</t>
  </si>
  <si>
    <t>0060ME</t>
  </si>
  <si>
    <t>0061ME</t>
  </si>
  <si>
    <t>0062ME</t>
  </si>
  <si>
    <t>0063ME</t>
  </si>
  <si>
    <t>0064ME</t>
  </si>
  <si>
    <t>0065ME</t>
  </si>
  <si>
    <t>0066ME</t>
  </si>
  <si>
    <t>0067ME</t>
  </si>
  <si>
    <t>0068ME</t>
  </si>
  <si>
    <t>0069ME</t>
  </si>
  <si>
    <t>0070ME</t>
  </si>
  <si>
    <t>0071ME</t>
  </si>
  <si>
    <t>0072ME</t>
  </si>
  <si>
    <t>0073ME</t>
  </si>
  <si>
    <t>0074ME</t>
  </si>
  <si>
    <t>0075ME</t>
  </si>
  <si>
    <t>0076ME</t>
  </si>
  <si>
    <t>0077ME</t>
  </si>
  <si>
    <t>0078ME</t>
  </si>
  <si>
    <t>0079ME</t>
  </si>
  <si>
    <t>0080ME</t>
  </si>
  <si>
    <t>0081ME</t>
  </si>
  <si>
    <t>0082ME</t>
  </si>
  <si>
    <t>0083ME</t>
  </si>
  <si>
    <t>0084ME</t>
  </si>
  <si>
    <t>0085ME</t>
  </si>
  <si>
    <t>0086ME</t>
  </si>
  <si>
    <t>0087ME</t>
  </si>
  <si>
    <t>0088ME</t>
  </si>
  <si>
    <t>0089ME</t>
  </si>
  <si>
    <t>0418MR</t>
  </si>
  <si>
    <t>0419MR</t>
  </si>
  <si>
    <t>0420MR</t>
  </si>
  <si>
    <t>0421MR</t>
  </si>
  <si>
    <t>0422MR</t>
  </si>
  <si>
    <t>0423MR</t>
  </si>
  <si>
    <t>0424MR</t>
  </si>
  <si>
    <t>0425MR</t>
  </si>
  <si>
    <t>0426MR</t>
  </si>
  <si>
    <t>0427MR</t>
  </si>
  <si>
    <t>0428MR</t>
  </si>
  <si>
    <t>0429MR</t>
  </si>
  <si>
    <t>0430MR</t>
  </si>
  <si>
    <t>0431MR</t>
  </si>
  <si>
    <t>0432MR</t>
  </si>
  <si>
    <t>0433MR</t>
  </si>
  <si>
    <t>0434MR</t>
  </si>
  <si>
    <t>0435MR</t>
  </si>
  <si>
    <t>0436MR</t>
  </si>
  <si>
    <t>0483PE</t>
  </si>
  <si>
    <t>0484PE</t>
  </si>
  <si>
    <t>0486PE</t>
  </si>
  <si>
    <t>0487PE</t>
  </si>
  <si>
    <t>0488PE</t>
  </si>
  <si>
    <t>0489PE</t>
  </si>
  <si>
    <t>0490PE</t>
  </si>
  <si>
    <t>0491PE</t>
  </si>
  <si>
    <t>0492PE</t>
  </si>
  <si>
    <t>0451SN</t>
  </si>
  <si>
    <t>0452SN</t>
  </si>
  <si>
    <t>0493SN</t>
  </si>
  <si>
    <t>0454SN</t>
  </si>
  <si>
    <t>0455SN</t>
  </si>
  <si>
    <t>0456SN</t>
  </si>
  <si>
    <t>0457SN</t>
  </si>
  <si>
    <t>0458SN</t>
  </si>
  <si>
    <t>0459SN</t>
  </si>
  <si>
    <t>0460SN</t>
  </si>
  <si>
    <t>0461SN</t>
  </si>
  <si>
    <t>0462SN</t>
  </si>
  <si>
    <t>0463SN</t>
  </si>
  <si>
    <t>0464SN</t>
  </si>
  <si>
    <t>0465SN</t>
  </si>
  <si>
    <t>0466SN</t>
  </si>
  <si>
    <t>0467SN</t>
  </si>
  <si>
    <t>0468SN</t>
  </si>
  <si>
    <t>0469SN</t>
  </si>
  <si>
    <t>0470SN</t>
  </si>
  <si>
    <t>0471SN</t>
  </si>
  <si>
    <t>0472SN</t>
  </si>
  <si>
    <t>0473SN</t>
  </si>
  <si>
    <t>0530VA</t>
  </si>
  <si>
    <t>0531VA</t>
  </si>
  <si>
    <t>0532VA</t>
  </si>
  <si>
    <t>0533VA</t>
  </si>
  <si>
    <t>0534VA</t>
  </si>
  <si>
    <t>0535VA</t>
  </si>
  <si>
    <t>0536VA</t>
  </si>
  <si>
    <t>0537VA</t>
  </si>
  <si>
    <t>0538VA</t>
  </si>
  <si>
    <t>0539VA</t>
  </si>
  <si>
    <t>0540VA</t>
  </si>
  <si>
    <t>0541VA</t>
  </si>
  <si>
    <t>0542VA</t>
  </si>
  <si>
    <t>0543VA</t>
  </si>
  <si>
    <t>0544VA</t>
  </si>
  <si>
    <t>0545VA</t>
  </si>
  <si>
    <t>0546VA</t>
  </si>
  <si>
    <t>0547VA</t>
  </si>
  <si>
    <t>0548VA</t>
  </si>
  <si>
    <t>0549VA</t>
  </si>
  <si>
    <t>0550VA</t>
  </si>
  <si>
    <t>0551VA</t>
  </si>
  <si>
    <t>0552VA</t>
  </si>
  <si>
    <t>0553VA</t>
  </si>
  <si>
    <t>0554VA</t>
  </si>
  <si>
    <t>0555VA</t>
  </si>
  <si>
    <t>0556VA</t>
  </si>
  <si>
    <t>0557VA</t>
  </si>
  <si>
    <t>0558VA</t>
  </si>
  <si>
    <t>0559VA</t>
  </si>
  <si>
    <t>0560VA</t>
  </si>
  <si>
    <t>0663LI</t>
  </si>
  <si>
    <t>0664LI</t>
  </si>
  <si>
    <t>0665LI</t>
  </si>
  <si>
    <t>0666LI</t>
  </si>
  <si>
    <t>0668LI</t>
  </si>
  <si>
    <t>0103AC</t>
  </si>
  <si>
    <t>0104AC</t>
  </si>
  <si>
    <t>0106AC</t>
  </si>
  <si>
    <t>0107AC</t>
  </si>
  <si>
    <t>0108AC</t>
  </si>
  <si>
    <t>0109AC</t>
  </si>
  <si>
    <t>0110AC</t>
  </si>
  <si>
    <t>0112AC</t>
  </si>
  <si>
    <t>0113AC</t>
  </si>
  <si>
    <t>0114AC</t>
  </si>
  <si>
    <t>0385IN</t>
  </si>
  <si>
    <t>0386IN</t>
  </si>
  <si>
    <t>0387IN</t>
  </si>
  <si>
    <t>0388IN</t>
  </si>
  <si>
    <t>0389IN</t>
  </si>
  <si>
    <t>0390IN</t>
  </si>
  <si>
    <t>0391IN</t>
  </si>
  <si>
    <t>0392IN</t>
  </si>
  <si>
    <t>0393IN</t>
  </si>
  <si>
    <t>0394IN</t>
  </si>
  <si>
    <t>0672EM</t>
  </si>
  <si>
    <t>0673EM</t>
  </si>
  <si>
    <t>0674LI</t>
  </si>
  <si>
    <t>0669EM</t>
  </si>
  <si>
    <t>Medallon de lomo</t>
  </si>
  <si>
    <t>Hot dog  pavo</t>
  </si>
  <si>
    <t>Salchicha huachana</t>
  </si>
  <si>
    <t>Salchichon saborizado</t>
  </si>
  <si>
    <t>0674EM</t>
  </si>
  <si>
    <t>0675EM</t>
  </si>
  <si>
    <t>0676EM</t>
  </si>
  <si>
    <t>0677EM</t>
  </si>
  <si>
    <t>0678EM</t>
  </si>
  <si>
    <t>0679EM</t>
  </si>
  <si>
    <t>0680COR</t>
  </si>
  <si>
    <t>Cordero en trozo</t>
  </si>
  <si>
    <t>Cabrito en trozo</t>
  </si>
  <si>
    <t>0681COR</t>
  </si>
  <si>
    <t xml:space="preserve">  </t>
  </si>
  <si>
    <t>Cordero</t>
  </si>
  <si>
    <t>0682COR</t>
  </si>
  <si>
    <t>0683COR</t>
  </si>
  <si>
    <t>0684COR</t>
  </si>
  <si>
    <t>Jabon liquido antibacterial 800 ml</t>
  </si>
  <si>
    <t>Cuidado Personal</t>
  </si>
  <si>
    <t>0685CUP</t>
  </si>
  <si>
    <t>Piernas de pollo kg</t>
  </si>
  <si>
    <t>Asado de tira</t>
  </si>
  <si>
    <t>Arverja partida 20 kg</t>
  </si>
  <si>
    <t xml:space="preserve"> </t>
  </si>
  <si>
    <t>Arroz 3 kl gr</t>
  </si>
  <si>
    <t xml:space="preserve">Fideos chinos fritos </t>
  </si>
  <si>
    <t>Ecco Cebada 250 GR</t>
  </si>
  <si>
    <t>Filete de tilapa x 1kg (01 caja x10 kg)</t>
  </si>
  <si>
    <t>Filete de tilapa x 1kg (04 caja x10 kg)</t>
  </si>
  <si>
    <t>ç</t>
  </si>
  <si>
    <t>Hamburguesas Speciales Premium</t>
  </si>
  <si>
    <t>PLAZA VEA B.A</t>
  </si>
  <si>
    <t>Metro B.A</t>
  </si>
  <si>
    <t>Precio POR UNIDAD</t>
  </si>
  <si>
    <t>PRECIO TOTAL</t>
  </si>
  <si>
    <t xml:space="preserve">Pilar Coronado  </t>
  </si>
  <si>
    <t>0.75.</t>
  </si>
  <si>
    <t>Chocolisto  marshmallow 150</t>
  </si>
  <si>
    <t>Hojuela  275 gr</t>
  </si>
  <si>
    <t>MOR</t>
  </si>
  <si>
    <t>frozen</t>
  </si>
  <si>
    <t>Eggs</t>
  </si>
  <si>
    <t>Inspira B.A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</si>
</sst>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&quot;S/&quot;\ #,##0.00"/>
  </numFmts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242424"/>
      <name val="Aptos Narrow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4925B9"/>
        <bgColor indexed="64"/>
      </patternFill>
    </fill>
    <fill>
      <patternFill patternType="solid">
        <fgColor rgb="FFEAE6F3"/>
        <bgColor indexed="64"/>
      </patternFill>
    </fill>
    <fill>
      <patternFill patternType="solid">
        <fgColor rgb="FF5FDCEA"/>
        <bgColor indexed="64"/>
      </patternFill>
    </fill>
    <fill>
      <patternFill patternType="solid">
        <fgColor rgb="FFC8F2F3"/>
        <bgColor indexed="64"/>
      </patternFill>
    </fill>
    <fill>
      <patternFill patternType="solid">
        <fgColor rgb="FF012851"/>
        <bgColor indexed="64"/>
      </patternFill>
    </fill>
    <fill>
      <patternFill patternType="solid">
        <fgColor rgb="FF8386A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43" fontId="6" fillId="0" borderId="0"/>
    <xf numFmtId="44" fontId="6" fillId="0" borderId="0" applyFont="0" applyFill="0" applyBorder="0" applyAlignment="0" applyProtection="0"/>
  </cellStyleXfs>
  <cellXfs count="65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  <xf numFmtId="0" fontId="0" fillId="0" borderId="0" xfId="0" applyProtection="1">
      <protection hidden="1"/>
    </xf>
    <xf numFmtId="0" fontId="0" fillId="2" borderId="0" xfId="0" applyFill="1" applyProtection="1">
      <protection locked="0"/>
    </xf>
    <xf numFmtId="0" fontId="0" fillId="2" borderId="0" xfId="0" applyFill="1"/>
    <xf numFmtId="0" fontId="0" fillId="2" borderId="0" xfId="0" applyFill="1" applyProtection="1">
      <protection hidden="1"/>
    </xf>
    <xf numFmtId="0" fontId="0" fillId="4" borderId="0" xfId="0" applyFill="1"/>
    <xf numFmtId="0" fontId="0" fillId="6" borderId="0" xfId="0" applyFill="1"/>
    <xf numFmtId="0" fontId="0" fillId="8" borderId="0" xfId="0" applyFill="1"/>
    <xf numFmtId="0" fontId="2" fillId="8" borderId="0" xfId="0" applyFont="1" applyFill="1"/>
    <xf numFmtId="0" fontId="0" fillId="8" borderId="0" xfId="0" applyFill="1" applyAlignment="1">
      <alignment horizontal="center"/>
    </xf>
    <xf numFmtId="0" fontId="0" fillId="5" borderId="0" xfId="0" applyFill="1" applyAlignment="1">
      <alignment horizontal="center"/>
    </xf>
    <xf numFmtId="14" fontId="0" fillId="5" borderId="0" xfId="0" applyNumberFormat="1" applyFill="1" applyAlignment="1">
      <alignment horizontal="center"/>
    </xf>
    <xf numFmtId="0" fontId="0" fillId="3" borderId="0" xfId="0" applyFill="1" applyAlignment="1" applyProtection="1">
      <alignment horizontal="center"/>
      <protection locked="0"/>
    </xf>
    <xf numFmtId="0" fontId="0" fillId="3" borderId="0" xfId="0" applyFill="1" applyAlignment="1">
      <alignment horizontal="center"/>
    </xf>
    <xf numFmtId="0" fontId="0" fillId="3" borderId="0" xfId="0" applyFill="1" applyAlignment="1" applyProtection="1">
      <alignment horizontal="center"/>
      <protection hidden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7" borderId="0" xfId="0" applyFill="1" applyAlignment="1">
      <alignment horizontal="center"/>
    </xf>
    <xf numFmtId="0" fontId="1" fillId="7" borderId="0" xfId="1" applyFill="1" applyAlignment="1">
      <alignment horizontal="center"/>
    </xf>
    <xf numFmtId="0" fontId="0" fillId="7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1" fillId="8" borderId="0" xfId="1" applyFill="1" applyAlignment="1">
      <alignment horizontal="left"/>
    </xf>
    <xf numFmtId="0" fontId="0" fillId="0" borderId="0" xfId="0" applyAlignment="1">
      <alignment horizontal="left"/>
    </xf>
    <xf numFmtId="0" fontId="1" fillId="0" borderId="0" xfId="1" applyAlignment="1">
      <alignment horizontal="center"/>
    </xf>
    <xf numFmtId="0" fontId="2" fillId="3" borderId="0" xfId="0" applyFont="1" applyFill="1" applyAlignment="1" applyProtection="1">
      <alignment horizontal="left"/>
      <protection locked="0"/>
    </xf>
    <xf numFmtId="43" fontId="0" fillId="3" borderId="0" xfId="2" applyFont="1" applyFill="1" applyAlignment="1">
      <alignment horizontal="center"/>
    </xf>
    <xf numFmtId="43" fontId="0" fillId="3" borderId="0" xfId="2" applyFont="1" applyFill="1" applyAlignment="1" applyProtection="1">
      <alignment horizontal="center"/>
      <protection hidden="1"/>
    </xf>
    <xf numFmtId="0" fontId="8" fillId="0" borderId="0" xfId="0" applyFont="1"/>
    <xf numFmtId="0" fontId="0" fillId="0" borderId="3" xfId="0" applyBorder="1"/>
    <xf numFmtId="0" fontId="0" fillId="3" borderId="0" xfId="0" applyFill="1" applyAlignment="1" applyProtection="1">
      <alignment horizontal="left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3" fillId="2" borderId="2" xfId="0" applyFont="1" applyFill="1" applyBorder="1"/>
    <xf numFmtId="0" fontId="3" fillId="2" borderId="3" xfId="0" applyFont="1" applyFill="1" applyBorder="1"/>
    <xf numFmtId="0" fontId="2" fillId="3" borderId="3" xfId="0" applyFont="1" applyFill="1" applyBorder="1" applyAlignment="1">
      <alignment horizontal="left"/>
    </xf>
    <xf numFmtId="0" fontId="7" fillId="3" borderId="0" xfId="0" applyFont="1" applyFill="1" applyAlignment="1">
      <alignment horizontal="center"/>
    </xf>
    <xf numFmtId="0" fontId="7" fillId="3" borderId="0" xfId="0" applyFont="1" applyFill="1" applyAlignment="1" applyProtection="1">
      <alignment horizontal="center"/>
      <protection hidden="1"/>
    </xf>
    <xf numFmtId="0" fontId="7" fillId="3" borderId="0" xfId="0" applyFont="1" applyFill="1" applyAlignment="1" applyProtection="1">
      <alignment horizontal="center"/>
      <protection locked="0"/>
    </xf>
    <xf numFmtId="0" fontId="8" fillId="9" borderId="2" xfId="0" applyFont="1" applyFill="1" applyBorder="1"/>
    <xf numFmtId="0" fontId="8" fillId="9" borderId="3" xfId="0" applyFont="1" applyFill="1" applyBorder="1"/>
    <xf numFmtId="0" fontId="8" fillId="0" borderId="2" xfId="0" applyFont="1" applyBorder="1"/>
    <xf numFmtId="0" fontId="8" fillId="0" borderId="3" xfId="0" applyFont="1" applyBorder="1"/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2" xfId="0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  <xf numFmtId="44" fontId="0" fillId="2" borderId="0" xfId="0" applyNumberFormat="1" applyFill="1" applyProtection="1">
      <protection locked="0"/>
    </xf>
    <xf numFmtId="44" fontId="0" fillId="3" borderId="0" xfId="0" applyNumberFormat="1" applyFill="1" applyAlignment="1" applyProtection="1">
      <alignment horizontal="center"/>
      <protection hidden="1"/>
    </xf>
    <xf numFmtId="44" fontId="2" fillId="3" borderId="0" xfId="0" applyNumberFormat="1" applyFont="1" applyFill="1" applyAlignment="1" applyProtection="1">
      <alignment horizontal="left"/>
      <protection locked="0"/>
    </xf>
    <xf numFmtId="44" fontId="0" fillId="3" borderId="0" xfId="0" applyNumberFormat="1" applyFill="1" applyAlignment="1" applyProtection="1">
      <alignment horizontal="center"/>
      <protection locked="0"/>
    </xf>
    <xf numFmtId="44" fontId="0" fillId="3" borderId="0" xfId="0" applyNumberFormat="1" applyFill="1" applyAlignment="1" applyProtection="1">
      <alignment horizontal="left"/>
      <protection locked="0"/>
    </xf>
    <xf numFmtId="44" fontId="0" fillId="0" borderId="0" xfId="0" applyNumberFormat="1" applyProtection="1">
      <protection locked="0"/>
    </xf>
    <xf numFmtId="44" fontId="0" fillId="0" borderId="0" xfId="0" applyNumberFormat="1"/>
    <xf numFmtId="44" fontId="5" fillId="0" borderId="0" xfId="0" applyNumberFormat="1" applyFont="1" applyAlignment="1">
      <alignment horizontal="left" vertical="center"/>
    </xf>
    <xf numFmtId="44" fontId="0" fillId="0" borderId="0" xfId="0" applyNumberFormat="1" applyAlignment="1">
      <alignment horizontal="center"/>
    </xf>
    <xf numFmtId="0" fontId="0" fillId="10" borderId="0" xfId="0" applyFill="1"/>
    <xf numFmtId="164" fontId="0" fillId="10" borderId="0" xfId="0" applyNumberFormat="1" applyFill="1" applyAlignment="1">
      <alignment horizontal="center"/>
    </xf>
    <xf numFmtId="44" fontId="0" fillId="0" borderId="0" xfId="5" applyFont="1"/>
    <xf numFmtId="0" fontId="8" fillId="5" borderId="0" xfId="0" applyFont="1" applyFill="1" applyAlignment="1">
      <alignment horizontal="center"/>
    </xf>
    <xf numFmtId="0" fontId="0" fillId="6" borderId="0" xfId="0" applyFill="1" applyProtection="1">
      <protection locked="0"/>
    </xf>
    <xf numFmtId="0" fontId="0" fillId="6" borderId="0" xfId="0" applyFill="1"/>
  </cellXfs>
  <cellStyles count="6">
    <cellStyle name="Hipervínculo" xfId="1" builtinId="8"/>
    <cellStyle name="Hipervínculo 2" xfId="3" xr:uid="{AE35BEA4-71D2-4EDB-A146-8864D7FB1D2E}"/>
    <cellStyle name="Millares" xfId="2" builtinId="3"/>
    <cellStyle name="Millares 2" xfId="4" xr:uid="{0C051CBC-C1B5-4257-95A8-CD65790890FE}"/>
    <cellStyle name="Moneda" xfId="5" builtinId="4"/>
    <cellStyle name="Normal" xfId="0" builtinId="0"/>
  </cellStyles>
  <dxfs count="93"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rgb="FFC8F2F3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C8F2F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8F2F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8F2F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8F2F3"/>
        </patternFill>
      </fill>
      <alignment horizontal="left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C8F2F3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C8F2F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8F2F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8F2F3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C8F2F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8F2F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8F2F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8F2F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8F2F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8F2F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8F2F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C8F2F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5FDCEA"/>
        </patternFill>
      </fill>
    </dxf>
    <dxf>
      <alignment horizontal="center" vertical="bottom" textRotation="0" wrapText="0" indent="0" justifyLastLine="0" shrinkToFit="0" readingOrder="0"/>
    </dxf>
    <dxf>
      <numFmt numFmtId="34" formatCode="_-&quot;S/&quot;\ * #,##0.00_-;\-&quot;S/&quot;\ * #,##0.00_-;_-&quot;S/&quot;\ * &quot;-&quot;??_-;_-@_-"/>
      <alignment horizontal="center" vertical="bottom" textRotation="0" wrapText="0" indent="0" justifyLastLine="0" shrinkToFit="0" readingOrder="0"/>
    </dxf>
    <dxf>
      <numFmt numFmtId="34" formatCode="_-&quot;S/&quot;\ * #,##0.00_-;\-&quot;S/&quot;\ * #,##0.00_-;_-&quot;S/&quot;\ * &quot;-&quot;??_-;_-@_-"/>
      <alignment horizontal="center" vertical="bottom" textRotation="0" wrapText="0" indent="0" justifyLastLine="0" shrinkToFit="0" readingOrder="0"/>
    </dxf>
    <dxf>
      <numFmt numFmtId="34" formatCode="_-&quot;S/&quot;\ * #,##0.00_-;\-&quot;S/&quot;\ * #,##0.00_-;_-&quot;S/&quot;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EAE6F3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solid">
          <fgColor indexed="64"/>
          <bgColor rgb="FFEAE6F3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solid">
          <fgColor indexed="64"/>
          <bgColor rgb="FFEAE6F3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solid">
          <fgColor indexed="64"/>
          <bgColor rgb="FFEAE6F3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solid">
          <fgColor indexed="64"/>
          <bgColor rgb="FFEAE6F3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solid">
          <fgColor indexed="64"/>
          <bgColor rgb="FFEAE6F3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solid">
          <fgColor indexed="64"/>
          <bgColor rgb="FFEAE6F3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solid">
          <fgColor indexed="64"/>
          <bgColor rgb="FFEAE6F3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solid">
          <fgColor indexed="64"/>
          <bgColor rgb="FFEAE6F3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solid">
          <fgColor indexed="64"/>
          <bgColor rgb="FFEAE6F3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solid">
          <fgColor indexed="64"/>
          <bgColor rgb="FFEAE6F3"/>
        </patternFill>
      </fill>
      <alignment horizontal="center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rgb="FFEAE6F3"/>
        </patternFill>
      </fill>
      <alignment horizontal="center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rgb="FFEAE6F3"/>
        </patternFill>
      </fill>
      <alignment horizontal="center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rgb="FFEAE6F3"/>
        </patternFill>
      </fill>
      <alignment horizontal="center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rgb="FFEAE6F3"/>
        </patternFill>
      </fill>
      <alignment horizontal="center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rgb="FFEAE6F3"/>
        </patternFill>
      </fill>
      <alignment horizontal="center" vertical="bottom" textRotation="0" wrapText="0" indent="0" justifyLastLine="0" shrinkToFit="0" readingOrder="0"/>
      <protection locked="0" hidden="0"/>
    </dxf>
    <dxf>
      <numFmt numFmtId="34" formatCode="_-&quot;S/&quot;\ * #,##0.00_-;\-&quot;S/&quot;\ * #,##0.00_-;_-&quot;S/&quot;\ * &quot;-&quot;??_-;_-@_-"/>
      <fill>
        <patternFill patternType="solid">
          <fgColor indexed="64"/>
          <bgColor rgb="FFEAE6F3"/>
        </patternFill>
      </fill>
      <alignment horizontal="left" vertical="bottom" textRotation="0" wrapText="0" indent="0" justifyLastLine="0" shrinkToFit="0" readingOrder="0"/>
      <protection locked="0" hidden="0"/>
    </dxf>
    <dxf>
      <numFmt numFmtId="34" formatCode="_-&quot;S/&quot;\ * #,##0.00_-;\-&quot;S/&quot;\ * #,##0.00_-;_-&quot;S/&quot;\ * &quot;-&quot;??_-;_-@_-"/>
      <fill>
        <patternFill patternType="solid">
          <fgColor indexed="64"/>
          <bgColor rgb="FFEAE6F3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solid">
          <fgColor indexed="64"/>
          <bgColor rgb="FFEAE6F3"/>
        </patternFill>
      </fill>
      <alignment horizontal="left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rgb="FFEAE6F3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solid">
          <fgColor indexed="64"/>
          <bgColor rgb="FFEAE6F3"/>
        </patternFill>
      </fill>
      <alignment horizontal="center" vertical="bottom" textRotation="0" wrapText="0" indent="0" justifyLastLine="0" shrinkToFit="0" readingOrder="0"/>
      <protection locked="0" hidden="0"/>
    </dxf>
    <dxf>
      <font>
        <color auto="1"/>
      </font>
      <fill>
        <patternFill patternType="solid">
          <fgColor indexed="64"/>
          <bgColor rgb="FFEAE6F3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rgb="FFEAE6F3"/>
        </patternFill>
      </fill>
      <alignment horizontal="center" vertical="bottom" textRotation="0" wrapText="0" indent="0" justifyLastLine="0" shrinkToFit="0" readingOrder="0"/>
      <protection locked="1" hidden="1"/>
    </dxf>
    <dxf>
      <numFmt numFmtId="0" formatCode="General"/>
      <fill>
        <patternFill patternType="solid">
          <fgColor indexed="64"/>
          <bgColor rgb="FFEAE6F3"/>
        </patternFill>
      </fill>
      <alignment horizontal="center" vertical="bottom" textRotation="0" wrapText="0" indent="0" justifyLastLine="0" shrinkToFit="0" readingOrder="0"/>
      <protection locked="1" hidden="1"/>
    </dxf>
    <dxf>
      <fill>
        <patternFill patternType="solid">
          <fgColor indexed="64"/>
          <bgColor rgb="FFEAE6F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EAE6F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EAE6F3"/>
        </patternFill>
      </fill>
      <alignment horizontal="center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rgb="FFEAE6F3"/>
        </patternFill>
      </fill>
      <alignment horizontal="center" vertical="bottom" textRotation="0" wrapText="0" indent="0" justifyLastLine="0" shrinkToFit="0" readingOrder="0"/>
      <protection locked="0" hidden="0"/>
    </dxf>
    <dxf>
      <fill>
        <patternFill patternType="solid">
          <fgColor indexed="64"/>
          <bgColor rgb="FFEAE6F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4925B9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12851"/>
        </patternFill>
      </fill>
    </dxf>
  </dxfs>
  <tableStyles count="0" defaultTableStyle="TableStyleMedium2" defaultPivotStyle="PivotStyleLight16"/>
  <colors>
    <mruColors>
      <color rgb="FF012851"/>
      <color rgb="FF8386AA"/>
      <color rgb="FFC8F2F3"/>
      <color rgb="FF5FDCEA"/>
      <color rgb="FFEAE6F3"/>
      <color rgb="FF4925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38101</xdr:rowOff>
    </xdr:from>
    <xdr:to>
      <xdr:col>1</xdr:col>
      <xdr:colOff>1333500</xdr:colOff>
      <xdr:row>0</xdr:row>
      <xdr:rowOff>781889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A73FB6-C8D0-47A3-8E92-07631161A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38101"/>
          <a:ext cx="2415540" cy="7437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38101</xdr:rowOff>
    </xdr:from>
    <xdr:to>
      <xdr:col>2</xdr:col>
      <xdr:colOff>160020</xdr:colOff>
      <xdr:row>0</xdr:row>
      <xdr:rowOff>781889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09EA154-3182-47F9-90E3-ECFC726D0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38101"/>
          <a:ext cx="2415540" cy="7437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38101</xdr:rowOff>
    </xdr:from>
    <xdr:to>
      <xdr:col>2</xdr:col>
      <xdr:colOff>792480</xdr:colOff>
      <xdr:row>0</xdr:row>
      <xdr:rowOff>781889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18CF676-9D82-4E83-91D5-AA44F55A5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38101"/>
          <a:ext cx="2415540" cy="7437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38101</xdr:rowOff>
    </xdr:from>
    <xdr:to>
      <xdr:col>2</xdr:col>
      <xdr:colOff>617220</xdr:colOff>
      <xdr:row>0</xdr:row>
      <xdr:rowOff>781889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F27171B-D3F6-41D6-B23A-2EB4FC986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38101"/>
          <a:ext cx="2415540" cy="74378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38101</xdr:rowOff>
    </xdr:from>
    <xdr:to>
      <xdr:col>3</xdr:col>
      <xdr:colOff>7620</xdr:colOff>
      <xdr:row>0</xdr:row>
      <xdr:rowOff>781889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E0F6357-043A-49A0-987F-30FB3AF4E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38101"/>
          <a:ext cx="2415540" cy="7437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Carolina/Documents/Almacen/Inventario-%20Stock%2020215.xlsx" TargetMode="External"/><Relationship Id="rId1" Type="http://schemas.openxmlformats.org/officeDocument/2006/relationships/externalLinkPath" Target="/Users/Carolina/Documents/Almacen/Inventario-%20Stock%202021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Carolina/Documents/Almacen/Inventario-%20Stock%202025.xlsx" TargetMode="External"/><Relationship Id="rId2" Type="http://schemas.openxmlformats.org/officeDocument/2006/relationships/externalLinkPath" Target="file:///C:\Users\Carolina\Documents\Almacen\Inventario-%20Stock%202025.xlsx" TargetMode="External"/><Relationship Id="rId1" Type="http://schemas.openxmlformats.org/officeDocument/2006/relationships/externalLinkPath" Target="/Users/Carolina/Documents/Almacen/Inventario-%20Stock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Carolina/Documents/Almacen/Existencias%20Almacn%202026.xlsx" TargetMode="External"/><Relationship Id="rId2" Type="http://schemas.openxmlformats.org/officeDocument/2006/relationships/externalLinkPath" Target="file:///C:\Users\Carolina\Documents\Almacen\Existencias%20Almacn%202026.xlsx" TargetMode="External"/><Relationship Id="rId1" Type="http://schemas.openxmlformats.org/officeDocument/2006/relationships/externalLinkPath" Target="/Users/Carolina/Documents/Almacen/Existencias%20Almacn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ventario- Stock 20215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xistencias"/>
      <sheetName val="Hoja2"/>
      <sheetName val="Codigo"/>
      <sheetName val="Entradas"/>
      <sheetName val="Salidas"/>
      <sheetName val="Proveedores"/>
      <sheetName val="Clientes"/>
      <sheetName val="Existencias (2)"/>
      <sheetName val="Inventario- Stock 2025"/>
    </sheetNames>
    <sheetDataSet>
      <sheetData sheetId="0"/>
      <sheetData sheetId="1"/>
      <sheetData sheetId="2"/>
      <sheetData sheetId="3"/>
      <sheetData sheetId="4"/>
      <sheetData sheetId="5">
        <row r="1">
          <cell r="A1"/>
        </row>
      </sheetData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xistencias"/>
      <sheetName val="Hoja2"/>
      <sheetName val="Entradas"/>
      <sheetName val="Salidas (2)"/>
      <sheetName val="Salidas"/>
      <sheetName val="Proveedores"/>
      <sheetName val="Clientes"/>
      <sheetName val="Existencias Almacn 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6085B6A-B04D-448C-B265-24EB5E968E4F}" name="Artículos" displayName="Artículos" ref="A2:N704" totalsRowCount="1" headerRowDxfId="79" dataDxfId="78">
  <autoFilter ref="A2:N703" xr:uid="{56085B6A-B04D-448C-B265-24EB5E968E4F}">
    <filterColumn colId="3">
      <filters>
        <filter val="Leche 390 bolsitarro"/>
        <filter val="Leche 390 bolsitarro descremada"/>
        <filter val="Leche 390 bolsitarro ligth"/>
        <filter val="Leche 390 bolsitarro niños"/>
        <filter val="Leche 900 ml caja"/>
        <filter val="Leche chocolatada 900 ml"/>
        <filter val="Leche complemento"/>
        <filter val="Leche condensada 387 g lata"/>
        <filter val="Leche descramada 390 lata"/>
        <filter val="Leche descramada 900 mlcaja"/>
        <filter val="Leche en polvo 2 a 24 meses"/>
        <filter val="Leche en polvo niños de 0 a 12"/>
        <filter val="Leche Evaporada  390 gr lata"/>
        <filter val="Leche evaporada tetra pack"/>
        <filter val="Leche Fresca b900 ml botella"/>
        <filter val="Leche Ligth 390 lata"/>
        <filter val="Leche Ligth 900 ml cJaja"/>
        <filter val="Leche niño 390 lata"/>
        <filter val="Leche para &lt; 60"/>
        <filter val="Lechet niño fresca 900 ml caja"/>
      </filters>
    </filterColumn>
  </autoFilter>
  <sortState xmlns:xlrd2="http://schemas.microsoft.com/office/spreadsheetml/2017/richdata2" ref="A520:N541">
    <sortCondition descending="1" ref="D2:D703"/>
  </sortState>
  <tableColumns count="14">
    <tableColumn id="1" xr3:uid="{88336EE8-9290-45F0-B154-D0FA360600EB}" name="Código" totalsRowLabel="Total" dataDxfId="77" totalsRowDxfId="76"/>
    <tableColumn id="2" xr3:uid="{7E6BEEF4-8C87-410D-B8F8-6E4A917D936C}" name="Proveedor (código)" dataDxfId="75" totalsRowDxfId="74"/>
    <tableColumn id="10" xr3:uid="{735FB655-F939-4AB2-B5FF-C504F33207B9}" name="Proveedor " dataDxfId="73" totalsRowDxfId="72"/>
    <tableColumn id="3" xr3:uid="{35E54076-C82E-41F0-A72D-BAE2F7064777}" name="Detalle" dataDxfId="71" totalsRowDxfId="70"/>
    <tableColumn id="4" xr3:uid="{61D7046C-83C0-4BD0-B524-B104DA4D3A65}" name="Nombre del artículo2" dataDxfId="69" totalsRowDxfId="68"/>
    <tableColumn id="15" xr3:uid="{AD848CCE-90BE-44F5-9385-78602E7AF80F}" name="Precio de venta" dataDxfId="67" totalsRowDxfId="66"/>
    <tableColumn id="5" xr3:uid="{6E4E5E09-A9D2-45D0-8B28-D51EB1A3B07C}" name="Precio de venta2" dataDxfId="65" totalsRowDxfId="64"/>
    <tableColumn id="7" xr3:uid="{F289F38C-36D6-4935-B0DC-736761642821}" name="Existencias mínimas" dataDxfId="63" totalsRowDxfId="62"/>
    <tableColumn id="8" xr3:uid="{473CCE42-CA67-4156-ABF7-DB49C2AAFC21}" name="Existencias iniciales" totalsRowFunction="sum" dataDxfId="61" totalsRowDxfId="60"/>
    <tableColumn id="11" xr3:uid="{18F8F680-1F64-4992-B51E-0631188219B8}" name="Entradas" totalsRowFunction="sum" dataDxfId="59" totalsRowDxfId="58">
      <calculatedColumnFormula>SUMIFS(Entradas!G:G,Entradas!E:E,Artículos[[#This Row],[Código]])</calculatedColumnFormula>
    </tableColumn>
    <tableColumn id="12" xr3:uid="{B239FE34-BE10-492D-A519-7FE27AE390DD}" name="Salidas" totalsRowFunction="sum" dataDxfId="57" totalsRowDxfId="56">
      <calculatedColumnFormula>SUMIFS(Salidas!G:G,Salidas!E:E,Artículos[[#This Row],[Código]])</calculatedColumnFormula>
    </tableColumn>
    <tableColumn id="9" xr3:uid="{C586F6F2-385C-4222-8B42-7FB0A27A7E3A}" name="Existencias actuales" totalsRowFunction="sum" dataDxfId="55" totalsRowDxfId="54">
      <calculatedColumnFormula>Artículos[[#This Row],[Existencias iniciales]]+Artículos[[#This Row],[Entradas]]-Artículos[[#This Row],[Salidas]]</calculatedColumnFormula>
    </tableColumn>
    <tableColumn id="13" xr3:uid="{973D09B0-E6CF-4212-8DD3-A2A0A937BA26}" name="Columna1" dataDxfId="53" totalsRowDxfId="52"/>
    <tableColumn id="14" xr3:uid="{A27B2FFA-9336-4F11-9D52-E5E0470FCA80}" name="Detalle del artículo2" dataDxfId="51" totalsRowDxfId="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9D993C-4FDD-40C8-A198-C6C2383282B2}" name="Proveedores" displayName="Proveedores" ref="A2:K15" totalsRowShown="0" headerRowDxfId="92" dataDxfId="91">
  <autoFilter ref="A2:K15" xr:uid="{BC9D993C-4FDD-40C8-A198-C6C2383282B2}"/>
  <tableColumns count="11">
    <tableColumn id="1" xr3:uid="{F9C2D3F2-BC24-4E33-9C4D-FAEB8C8AA3BE}" name="Código" dataDxfId="90"/>
    <tableColumn id="2" xr3:uid="{11774863-A4C8-415B-AB98-8F4A79B2F75B}" name="Nombre fiscal" dataDxfId="89"/>
    <tableColumn id="3" xr3:uid="{5F84EA28-A0CD-4CD9-B474-E5C663C2DB5E}" name="Nombre" dataDxfId="88"/>
    <tableColumn id="4" xr3:uid="{183FD22E-6173-4CD0-9AB1-D4EDA26C5BDB}" name="Apellidos" dataDxfId="87"/>
    <tableColumn id="5" xr3:uid="{F54A9828-8D73-49F1-9887-9BC37688285F}" name="NIF/CIF" dataDxfId="86"/>
    <tableColumn id="6" xr3:uid="{282E6DB3-95B1-4A61-B621-B5E2F64608D3}" name="Teléfono" dataDxfId="85"/>
    <tableColumn id="7" xr3:uid="{13D1C72C-7688-4EF0-A4E5-5DBAAB0E2BF8}" name="E-mail" dataDxfId="84" dataCellStyle="Hipervínculo"/>
    <tableColumn id="8" xr3:uid="{8D66A926-47EB-4B42-9DC0-44C53F4C4940}" name="Dirección" dataDxfId="83"/>
    <tableColumn id="9" xr3:uid="{DA00A7BE-0B41-40D9-A47E-EFBACD600925}" name="Población" dataDxfId="82"/>
    <tableColumn id="10" xr3:uid="{EBF4FFE0-9ADD-47F6-B9B1-8013DBF2BB02}" name="Provincia" dataDxfId="81"/>
    <tableColumn id="11" xr3:uid="{2B1F5E9C-40F0-498A-B42D-AA1B2A38CDE2}" name="Código Postal" dataDxfId="80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05D24E9-01EA-4F88-948F-91DFCD004B79}" name="Entradas" displayName="Entradas" ref="A2:I372" totalsRowCount="1" dataDxfId="49">
  <autoFilter ref="A2:I371" xr:uid="{905D24E9-01EA-4F88-948F-91DFCD004B79}"/>
  <tableColumns count="9">
    <tableColumn id="1" xr3:uid="{59238271-79EA-4A52-8175-15E34327A23E}" name="Código" totalsRowLabel="Total" dataDxfId="48" totalsRowDxfId="47"/>
    <tableColumn id="2" xr3:uid="{144D710F-35BF-4DA7-8130-2D036D418668}" name="Fecha" dataDxfId="46" totalsRowDxfId="45"/>
    <tableColumn id="3" xr3:uid="{0F6B9735-3B68-4EBE-98AF-54E0513C8E0C}" name="Proveedor (código)" dataDxfId="44" totalsRowDxfId="43"/>
    <tableColumn id="4" xr3:uid="{262CB78F-1752-42F2-A57C-4C6C9612428F}" name="Proveedor (nombre)" dataDxfId="42" totalsRowDxfId="41">
      <calculatedColumnFormula>IF(Entradas[[#This Row],[Proveedor (código)]]="","",VLOOKUP(Entradas[[#This Row],[Proveedor (código)]],Proveedores[[#All],[Código]:[Nombre fiscal]],2,FALSE))</calculatedColumnFormula>
    </tableColumn>
    <tableColumn id="5" xr3:uid="{E9E97714-BE1D-49D8-9E4F-2410708CAE47}" name="Artículo (código)" dataDxfId="40" totalsRowDxfId="39"/>
    <tableColumn id="6" xr3:uid="{C18521A1-6568-43B9-A498-B1C2EEA693A7}" name="Artículo (nombre)" dataDxfId="38" totalsRowDxfId="37">
      <calculatedColumnFormula>IF(Entradas[[#This Row],[Artículo (código)]]="","",VLOOKUP(Entradas[[#This Row],[Artículo (código)]],Existencias!A:D,4,FALSE))</calculatedColumnFormula>
    </tableColumn>
    <tableColumn id="7" xr3:uid="{7938BD6D-3C8D-48CD-8C66-A35822564BDC}" name="Cantidad" totalsRowFunction="sum" dataDxfId="36" totalsRowDxfId="35"/>
    <tableColumn id="8" xr3:uid="{6E1A15AB-FA84-4BFD-920C-6991924D4BFA}" name="Precio POR UNIDAD" totalsRowFunction="sum" dataDxfId="34" totalsRowDxfId="33">
      <calculatedColumnFormula>VLOOKUP(Entradas[[#This Row],[Artículo (código)]],Existencias!A:F,6,FALSE)</calculatedColumnFormula>
    </tableColumn>
    <tableColumn id="9" xr3:uid="{EA604172-ABB6-45A6-BC58-70BB589CF143}" name="PRECIO TOTAL" dataDxfId="32" totalsRowDxfId="31">
      <calculatedColumnFormula>Entradas[[#This Row],[Precio POR UNIDAD]]*Entradas[[#This Row],[Cantidad]]</calculatedColumnFormula>
    </tableColumn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6C1FD0E-86B7-4747-8358-C1BA984BD742}" name="Salidas" displayName="Salidas" ref="A2:H513" totalsRowCount="1" headerRowDxfId="30" dataDxfId="29">
  <autoFilter ref="A2:H512" xr:uid="{96C1FD0E-86B7-4747-8358-C1BA984BD742}"/>
  <tableColumns count="8">
    <tableColumn id="1" xr3:uid="{8D9ACA0D-F327-4E41-9DF0-2DF4C9227126}" name="  " totalsRowLabel="Total" dataDxfId="28" totalsRowDxfId="27"/>
    <tableColumn id="2" xr3:uid="{71416246-DA9F-4215-B81E-470092058B22}" name="Fecha" dataDxfId="26" totalsRowDxfId="25"/>
    <tableColumn id="3" xr3:uid="{FBE5A49A-43F4-4AE7-B961-DD5960493812}" name="Cliente (código)" dataDxfId="24" totalsRowDxfId="23"/>
    <tableColumn id="4" xr3:uid="{29E03CCF-999F-48CB-B92A-CA9D92AB3656}" name="Cliente (nombre)" dataDxfId="22" totalsRowDxfId="21">
      <calculatedColumnFormula>IF(Entradas[[#This Row],[Proveedor (código)]]="","",VLOOKUP(Entradas[[#This Row],[Proveedor (código)]],Proveedores[[#All],[Código]:[Nombre fiscal]],2,FALSE))</calculatedColumnFormula>
    </tableColumn>
    <tableColumn id="5" xr3:uid="{BD63083F-F8AA-4BB2-9385-4F1E4C0AF16D}" name="Artículo (código)" dataDxfId="20" totalsRowDxfId="19"/>
    <tableColumn id="6" xr3:uid="{434496F6-95F1-436B-838E-80351D95F60D}" name="Artículo (nombre)" dataDxfId="18" totalsRowDxfId="17">
      <calculatedColumnFormula>IF(Salidas[[#This Row],[Artículo (código)]]="","",VLOOKUP(Salidas[[#This Row],[Artículo (código)]],Existencias!A:D,4,FALSE))</calculatedColumnFormula>
    </tableColumn>
    <tableColumn id="7" xr3:uid="{EC5BEE3A-7C0A-448E-A434-43A18F1C7752}" name="Cantidad" totalsRowFunction="sum" dataDxfId="16" totalsRowDxfId="15"/>
    <tableColumn id="8" xr3:uid="{CB3C6912-5383-4893-A158-325728F3D52F}" name="Precio" totalsRowFunction="sum" dataDxfId="14" totalsRowDxfId="13">
      <calculatedColumnFormula>IF(Salidas[[#This Row],[Artículo (código)]]="","",VLOOKUP(Salidas[[#This Row],[Artículo (código)]],Existencias!A:F,7,FALSE))</calculatedColumnFormula>
    </tableColumn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A4F80C-CFF0-4E94-BFA5-2670119262AE}" name="Clientes" displayName="Clientes" ref="A2:K3" totalsRowShown="0" headerRowDxfId="12" dataDxfId="11">
  <autoFilter ref="A2:K3" xr:uid="{C1A4F80C-CFF0-4E94-BFA5-2670119262AE}"/>
  <tableColumns count="11">
    <tableColumn id="1" xr3:uid="{C6EFFF1F-25EB-4DAB-97D3-F399B7CA4F01}" name="Código" dataDxfId="10"/>
    <tableColumn id="11" xr3:uid="{93FF5AC8-1E70-4994-BFE4-37AA1BEE0AD0}" name="Nombre fiscal" dataDxfId="9"/>
    <tableColumn id="2" xr3:uid="{40254B27-34A8-4FA6-8D0F-CFDEFB29A026}" name="Nombre" dataDxfId="8"/>
    <tableColumn id="3" xr3:uid="{F99328F8-F9AE-4A66-92E6-E63C3CDB65DA}" name="Apellidos" dataDxfId="7"/>
    <tableColumn id="4" xr3:uid="{61E71E4B-E2E8-4D64-AFB6-96C02F4EBB03}" name="NIF/CIF" dataDxfId="6"/>
    <tableColumn id="5" xr3:uid="{08D55EE0-86EC-42C3-BDB8-822480307DBF}" name="Teléfono" dataDxfId="5"/>
    <tableColumn id="6" xr3:uid="{EB15EE05-6854-4DA6-A051-1BAEBFE9C67A}" name="E-mail" dataDxfId="4" dataCellStyle="Hipervínculo"/>
    <tableColumn id="7" xr3:uid="{DA83E792-9C18-4E11-AEF5-BF52B24CD416}" name="Dirección" dataDxfId="3"/>
    <tableColumn id="8" xr3:uid="{85990000-E339-4A20-908B-14E4F753579D}" name="Población" dataDxfId="2"/>
    <tableColumn id="9" xr3:uid="{98FCFC31-41E9-496C-AB40-A8315DF53196}" name="Provincia" dataDxfId="1"/>
    <tableColumn id="10" xr3:uid="{85307226-A777-4562-B58C-E5528455F933}" name="Código Pos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hyperlink" Target="mailto:proveedor@ejemplo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hyperlink" Target="mailto:cliente@ejempl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313C6-8B9E-4F5E-AF6F-256508AADDAD}">
  <dimension ref="A1:N704"/>
  <sheetViews>
    <sheetView zoomScale="101" workbookViewId="0">
      <pane ySplit="2" topLeftCell="A417" activePane="bottomLeft" state="frozen"/>
      <selection pane="bottomLeft" activeCell="D707" sqref="D707"/>
    </sheetView>
  </sheetViews>
  <sheetFormatPr baseColWidth="10" defaultColWidth="18.6640625" defaultRowHeight="14.4" x14ac:dyDescent="0.3"/>
  <cols>
    <col min="1" max="1" width="16.21875" style="2" customWidth="1"/>
    <col min="2" max="2" width="20.44140625" customWidth="1"/>
    <col min="3" max="3" width="21.5546875" style="3" customWidth="1"/>
    <col min="4" max="4" width="35.33203125" style="2" customWidth="1"/>
    <col min="5" max="5" width="27.5546875" style="2" customWidth="1"/>
    <col min="6" max="6" width="17.88671875" style="55" customWidth="1"/>
    <col min="7" max="7" width="21.109375" style="2" hidden="1" customWidth="1"/>
    <col min="8" max="8" width="20.88671875" style="2" hidden="1" customWidth="1"/>
    <col min="9" max="9" width="10.88671875" style="3" bestFit="1" customWidth="1"/>
    <col min="10" max="10" width="9.44140625" style="3" bestFit="1" customWidth="1"/>
    <col min="11" max="11" width="20.88671875" style="3" bestFit="1" customWidth="1"/>
  </cols>
  <sheetData>
    <row r="1" spans="1:14" s="64" customFormat="1" ht="75.599999999999994" customHeight="1" x14ac:dyDescent="0.3">
      <c r="A1" s="63"/>
    </row>
    <row r="2" spans="1:14" x14ac:dyDescent="0.3">
      <c r="A2" s="4" t="s">
        <v>0</v>
      </c>
      <c r="B2" s="5" t="s">
        <v>19</v>
      </c>
      <c r="C2" s="6" t="s">
        <v>84</v>
      </c>
      <c r="D2" s="4" t="s">
        <v>94</v>
      </c>
      <c r="E2" s="4" t="s">
        <v>93</v>
      </c>
      <c r="F2" s="50" t="s">
        <v>11</v>
      </c>
      <c r="G2" s="4" t="s">
        <v>95</v>
      </c>
      <c r="H2" s="4" t="s">
        <v>12</v>
      </c>
      <c r="I2" s="4" t="s">
        <v>13</v>
      </c>
      <c r="J2" s="6" t="s">
        <v>33</v>
      </c>
      <c r="K2" s="6" t="s">
        <v>34</v>
      </c>
      <c r="L2" s="6" t="s">
        <v>23</v>
      </c>
      <c r="M2" s="5" t="s">
        <v>86</v>
      </c>
      <c r="N2" s="4" t="s">
        <v>92</v>
      </c>
    </row>
    <row r="3" spans="1:14" hidden="1" x14ac:dyDescent="0.3">
      <c r="A3" s="29" t="s">
        <v>693</v>
      </c>
      <c r="B3" s="15">
        <v>1</v>
      </c>
      <c r="C3" s="16" t="e">
        <f>IF([1]!Artículos4[[#This Row],[Proveedor (código)]]="","",VLOOKUP([2]!Artículos4[[#This Row],[Proveedor (código)]],[2]Proveedores!A:B,2,FALSE))</f>
        <v>#REF!</v>
      </c>
      <c r="D3" s="29" t="s">
        <v>41</v>
      </c>
      <c r="E3" s="29" t="s">
        <v>69</v>
      </c>
      <c r="F3" s="51">
        <v>3.9</v>
      </c>
      <c r="G3" s="14"/>
      <c r="H3" s="14"/>
      <c r="I3" s="14">
        <v>29</v>
      </c>
      <c r="J3" s="16">
        <f>SUMIFS(Entradas!G:G,Entradas!E:E,Artículos[[#This Row],[Código]])</f>
        <v>3</v>
      </c>
      <c r="K3" s="16">
        <f>SUMIFS(Salidas!G:G,Salidas!E:E,#REF!)</f>
        <v>0</v>
      </c>
      <c r="L3" s="16">
        <f>Artículos[[#This Row],[Existencias iniciales]]+Artículos[[#This Row],[Entradas]]-Artículos[[#This Row],[Salidas]]</f>
        <v>32</v>
      </c>
      <c r="M3" s="16" t="s">
        <v>77</v>
      </c>
      <c r="N3" s="16"/>
    </row>
    <row r="4" spans="1:14" hidden="1" x14ac:dyDescent="0.3">
      <c r="A4" s="29" t="s">
        <v>1164</v>
      </c>
      <c r="B4" s="15"/>
      <c r="C4" s="16" t="e">
        <f>IF([2]!Artículos4[[#This Row],[Proveedor (código)]]="","",VLOOKUP([2]!Artículos4[[#This Row],[Proveedor (código)]],[2]Proveedores!A:B,2,FALSE))</f>
        <v>#REF!</v>
      </c>
      <c r="D4" s="29" t="s">
        <v>96</v>
      </c>
      <c r="E4" s="29" t="s">
        <v>69</v>
      </c>
      <c r="F4" s="51">
        <v>6.1</v>
      </c>
      <c r="G4" s="14"/>
      <c r="H4" s="14"/>
      <c r="I4" s="14"/>
      <c r="J4" s="16">
        <f>SUMIFS(Entradas!G:G,Entradas!E:E,Artículos[[#This Row],[Código]])</f>
        <v>0</v>
      </c>
      <c r="K4" s="16">
        <f>SUMIFS(Salidas!G:G,Salidas!E:E,Artículos[[#This Row],[Código]])</f>
        <v>3</v>
      </c>
      <c r="L4" s="16">
        <f>Artículos[[#This Row],[Existencias iniciales]]+Artículos[[#This Row],[Entradas]]-Artículos[[#This Row],[Salidas]]</f>
        <v>-3</v>
      </c>
      <c r="M4" s="16" t="s">
        <v>77</v>
      </c>
      <c r="N4" s="16"/>
    </row>
    <row r="5" spans="1:14" hidden="1" x14ac:dyDescent="0.3">
      <c r="A5" s="29" t="s">
        <v>1165</v>
      </c>
      <c r="B5" s="15">
        <v>1</v>
      </c>
      <c r="C5" s="16" t="e">
        <f>IF([2]!Artículos4[[#This Row],[Proveedor (código)]]="","",VLOOKUP([2]!Artículos4[[#This Row],[Proveedor (código)]],[2]Proveedores!A:B,2,FALSE))</f>
        <v>#REF!</v>
      </c>
      <c r="D5" s="29" t="s">
        <v>97</v>
      </c>
      <c r="E5" s="29" t="s">
        <v>69</v>
      </c>
      <c r="F5" s="51">
        <v>71.099999999999994</v>
      </c>
      <c r="G5" s="14"/>
      <c r="H5" s="14"/>
      <c r="I5" s="14">
        <v>2</v>
      </c>
      <c r="J5" s="16">
        <f>SUMIFS(Entradas!G:G,Entradas!E:E,Artículos[[#This Row],[Código]])</f>
        <v>0</v>
      </c>
      <c r="K5" s="16">
        <f>SUMIFS(Salidas!G:G,Salidas!E:E,Artículos[[#This Row],[Código]])</f>
        <v>0</v>
      </c>
      <c r="L5" s="16">
        <f>Artículos[[#This Row],[Existencias iniciales]]+Artículos[[#This Row],[Entradas]]-Artículos[[#This Row],[Salidas]]</f>
        <v>2</v>
      </c>
      <c r="M5" s="16" t="s">
        <v>77</v>
      </c>
      <c r="N5" s="16"/>
    </row>
    <row r="6" spans="1:14" hidden="1" x14ac:dyDescent="0.3">
      <c r="A6" s="29" t="s">
        <v>1166</v>
      </c>
      <c r="B6" s="15">
        <v>1</v>
      </c>
      <c r="C6" s="16" t="e">
        <f>IF([2]!Artículos4[[#This Row],[Proveedor (código)]]="","",VLOOKUP([2]!Artículos4[[#This Row],[Proveedor (código)]],[2]Proveedores!A:B,2,FALSE))</f>
        <v>#REF!</v>
      </c>
      <c r="D6" s="29" t="s">
        <v>98</v>
      </c>
      <c r="E6" s="29" t="s">
        <v>69</v>
      </c>
      <c r="F6" s="51">
        <v>36.9</v>
      </c>
      <c r="G6" s="14"/>
      <c r="H6" s="14"/>
      <c r="I6" s="14">
        <v>7</v>
      </c>
      <c r="J6" s="16">
        <f>SUMIFS(Entradas!G:G,Entradas!E:E,Artículos[[#This Row],[Código]])</f>
        <v>0</v>
      </c>
      <c r="K6" s="16">
        <f>SUMIFS(Salidas!G:G,Salidas!E:E,Artículos[[#This Row],[Código]])</f>
        <v>0</v>
      </c>
      <c r="L6" s="16">
        <f>Artículos[[#This Row],[Existencias iniciales]]+Artículos[[#This Row],[Entradas]]-Artículos[[#This Row],[Salidas]]</f>
        <v>7</v>
      </c>
      <c r="M6" s="16" t="s">
        <v>77</v>
      </c>
      <c r="N6" s="16"/>
    </row>
    <row r="7" spans="1:14" hidden="1" x14ac:dyDescent="0.3">
      <c r="A7" s="29" t="s">
        <v>1167</v>
      </c>
      <c r="B7" s="15"/>
      <c r="C7" s="16" t="e">
        <f>IF([2]!Artículos4[[#This Row],[Proveedor (código)]]="","",VLOOKUP([2]!Artículos4[[#This Row],[Proveedor (código)]],[2]Proveedores!A:B,2,FALSE))</f>
        <v>#REF!</v>
      </c>
      <c r="D7" s="29" t="s">
        <v>1386</v>
      </c>
      <c r="E7" s="29" t="s">
        <v>69</v>
      </c>
      <c r="F7" s="51"/>
      <c r="G7" s="14"/>
      <c r="H7" s="14"/>
      <c r="I7" s="14">
        <v>4</v>
      </c>
      <c r="J7" s="16">
        <f>SUMIFS(Entradas!G:G,Entradas!E:E,Artículos[[#This Row],[Código]])</f>
        <v>0</v>
      </c>
      <c r="K7" s="16">
        <f>SUMIFS(Salidas!G:G,Salidas!E:E,Artículos[[#This Row],[Código]])</f>
        <v>0</v>
      </c>
      <c r="L7" s="16">
        <f>Artículos[[#This Row],[Existencias iniciales]]+Artículos[[#This Row],[Entradas]]-Artículos[[#This Row],[Salidas]]</f>
        <v>4</v>
      </c>
      <c r="M7" s="16" t="s">
        <v>77</v>
      </c>
      <c r="N7" s="16"/>
    </row>
    <row r="8" spans="1:14" hidden="1" x14ac:dyDescent="0.3">
      <c r="A8" s="29" t="s">
        <v>1168</v>
      </c>
      <c r="B8" s="15">
        <v>1</v>
      </c>
      <c r="C8" s="16" t="e">
        <f>IF([2]!Artículos4[[#This Row],[Proveedor (código)]]="","",VLOOKUP([2]!Artículos4[[#This Row],[Proveedor (código)]],[2]Proveedores!A:B,2,FALSE))</f>
        <v>#REF!</v>
      </c>
      <c r="D8" s="29" t="s">
        <v>99</v>
      </c>
      <c r="E8" s="29" t="s">
        <v>69</v>
      </c>
      <c r="F8" s="51">
        <v>4.5</v>
      </c>
      <c r="G8" s="14"/>
      <c r="H8" s="14"/>
      <c r="I8" s="14"/>
      <c r="J8" s="16">
        <f>SUMIFS(Entradas!G:G,Entradas!E:E,Artículos[[#This Row],[Código]])</f>
        <v>0</v>
      </c>
      <c r="K8" s="16">
        <f>SUMIFS(Salidas!G:G,Salidas!E:E,Artículos[[#This Row],[Código]])</f>
        <v>0</v>
      </c>
      <c r="L8" s="16">
        <f>Artículos[[#This Row],[Existencias iniciales]]+Artículos[[#This Row],[Entradas]]-Artículos[[#This Row],[Salidas]]</f>
        <v>0</v>
      </c>
      <c r="M8" s="16" t="s">
        <v>78</v>
      </c>
      <c r="N8" s="16"/>
    </row>
    <row r="9" spans="1:14" hidden="1" x14ac:dyDescent="0.3">
      <c r="A9" s="29" t="s">
        <v>1169</v>
      </c>
      <c r="B9" s="15">
        <v>1</v>
      </c>
      <c r="C9" s="16" t="e">
        <f>IF([2]!Artículos4[[#This Row],[Proveedor (código)]]="","",VLOOKUP([2]!Artículos4[[#This Row],[Proveedor (código)]],[2]Proveedores!A:B,2,FALSE))</f>
        <v>#REF!</v>
      </c>
      <c r="D9" s="29" t="s">
        <v>100</v>
      </c>
      <c r="E9" s="29" t="s">
        <v>69</v>
      </c>
      <c r="F9" s="51">
        <v>6.5</v>
      </c>
      <c r="G9" s="14"/>
      <c r="H9" s="14"/>
      <c r="I9" s="14"/>
      <c r="J9" s="16">
        <f>SUMIFS(Entradas!G:G,Entradas!E:E,Artículos[[#This Row],[Código]])</f>
        <v>0</v>
      </c>
      <c r="K9" s="16">
        <f>SUMIFS(Salidas!G:G,Salidas!E:E,Artículos[[#This Row],[Código]])</f>
        <v>0</v>
      </c>
      <c r="L9" s="16">
        <f>Artículos[[#This Row],[Existencias iniciales]]+Artículos[[#This Row],[Entradas]]-Artículos[[#This Row],[Salidas]]</f>
        <v>0</v>
      </c>
      <c r="M9" s="16" t="s">
        <v>79</v>
      </c>
      <c r="N9" s="16"/>
    </row>
    <row r="10" spans="1:14" hidden="1" x14ac:dyDescent="0.3">
      <c r="A10" s="29" t="s">
        <v>1170</v>
      </c>
      <c r="B10" s="15"/>
      <c r="C10" s="16" t="e">
        <f>IF([2]!Artículos4[[#This Row],[Proveedor (código)]]="","",VLOOKUP([2]!Artículos4[[#This Row],[Proveedor (código)]],[2]Proveedores!A:B,2,FALSE))</f>
        <v>#REF!</v>
      </c>
      <c r="D10" s="29" t="s">
        <v>101</v>
      </c>
      <c r="E10" s="29" t="s">
        <v>69</v>
      </c>
      <c r="F10" s="51"/>
      <c r="G10" s="14"/>
      <c r="H10" s="14"/>
      <c r="I10" s="14"/>
      <c r="J10" s="16">
        <f>SUMIFS(Entradas!G:G,Entradas!E:E,Artículos[[#This Row],[Código]])</f>
        <v>0</v>
      </c>
      <c r="K10" s="16">
        <f>SUMIFS(Salidas!G:G,Salidas!E:E,Artículos[[#This Row],[Código]])</f>
        <v>0</v>
      </c>
      <c r="L10" s="16">
        <f>Artículos[[#This Row],[Existencias iniciales]]+Artículos[[#This Row],[Entradas]]-Artículos[[#This Row],[Salidas]]</f>
        <v>0</v>
      </c>
      <c r="M10" s="16" t="s">
        <v>75</v>
      </c>
      <c r="N10" s="16"/>
    </row>
    <row r="11" spans="1:14" hidden="1" x14ac:dyDescent="0.3">
      <c r="A11" s="29" t="s">
        <v>1171</v>
      </c>
      <c r="B11" s="15">
        <v>1</v>
      </c>
      <c r="C11" s="16" t="e">
        <f>IF([2]!Artículos4[[#This Row],[Proveedor (código)]]="","",VLOOKUP([2]!Artículos4[[#This Row],[Proveedor (código)]],[2]Proveedores!A:B,2,FALSE))</f>
        <v>#REF!</v>
      </c>
      <c r="D11" s="29" t="s">
        <v>102</v>
      </c>
      <c r="E11" s="29" t="s">
        <v>69</v>
      </c>
      <c r="F11" s="51"/>
      <c r="G11" s="14"/>
      <c r="H11" s="14"/>
      <c r="I11" s="14"/>
      <c r="J11" s="16">
        <f>SUMIFS(Entradas!G:G,Entradas!E:E,Artículos[[#This Row],[Código]])</f>
        <v>0</v>
      </c>
      <c r="K11" s="16">
        <f>SUMIFS(Salidas!G:G,Salidas!E:E,Artículos[[#This Row],[Código]])</f>
        <v>0</v>
      </c>
      <c r="L11" s="16">
        <f>Artículos[[#This Row],[Existencias iniciales]]+Artículos[[#This Row],[Entradas]]-Artículos[[#This Row],[Salidas]]</f>
        <v>0</v>
      </c>
      <c r="M11" s="16" t="s">
        <v>75</v>
      </c>
      <c r="N11" s="16"/>
    </row>
    <row r="12" spans="1:14" hidden="1" x14ac:dyDescent="0.3">
      <c r="A12" s="29" t="s">
        <v>1172</v>
      </c>
      <c r="B12" s="15">
        <v>1</v>
      </c>
      <c r="C12" s="16" t="e">
        <f>IF([2]!Artículos4[[#This Row],[Proveedor (código)]]="","",VLOOKUP([2]!Artículos4[[#This Row],[Proveedor (código)]],[2]Proveedores!A:B,2,FALSE))</f>
        <v>#REF!</v>
      </c>
      <c r="D12" s="29" t="s">
        <v>103</v>
      </c>
      <c r="E12" s="29" t="s">
        <v>69</v>
      </c>
      <c r="F12" s="51"/>
      <c r="G12" s="14"/>
      <c r="H12" s="14"/>
      <c r="I12" s="14"/>
      <c r="J12" s="16">
        <f>SUMIFS(Entradas!G:G,Entradas!E:E,Artículos[[#This Row],[Código]])</f>
        <v>0</v>
      </c>
      <c r="K12" s="16">
        <f>SUMIFS(Salidas!G:G,Salidas!E:E,Artículos[[#This Row],[Código]])</f>
        <v>0</v>
      </c>
      <c r="L12" s="16">
        <f>Artículos[[#This Row],[Existencias iniciales]]+Artículos[[#This Row],[Entradas]]-Artículos[[#This Row],[Salidas]]</f>
        <v>0</v>
      </c>
      <c r="M12" s="16" t="s">
        <v>69</v>
      </c>
      <c r="N12" s="16"/>
    </row>
    <row r="13" spans="1:14" hidden="1" x14ac:dyDescent="0.3">
      <c r="A13" s="29" t="s">
        <v>1173</v>
      </c>
      <c r="B13" s="15"/>
      <c r="C13" s="16" t="e">
        <f>IF([2]!Artículos4[[#This Row],[Proveedor (código)]]="","",VLOOKUP([2]!Artículos4[[#This Row],[Proveedor (código)]],[2]Proveedores!A:B,2,FALSE))</f>
        <v>#REF!</v>
      </c>
      <c r="D13" s="29" t="s">
        <v>104</v>
      </c>
      <c r="E13" s="29" t="s">
        <v>69</v>
      </c>
      <c r="F13" s="51"/>
      <c r="G13" s="14"/>
      <c r="H13" s="14"/>
      <c r="I13" s="14"/>
      <c r="J13" s="16">
        <f>SUMIFS(Entradas!G:G,Entradas!E:E,Artículos[[#This Row],[Código]])</f>
        <v>0</v>
      </c>
      <c r="K13" s="16">
        <f>SUMIFS(Salidas!G:G,Salidas!E:E,Artículos[[#This Row],[Código]])</f>
        <v>0</v>
      </c>
      <c r="L13" s="16">
        <f>Artículos[[#This Row],[Existencias iniciales]]+Artículos[[#This Row],[Entradas]]-Artículos[[#This Row],[Salidas]]</f>
        <v>0</v>
      </c>
      <c r="M13" s="16" t="s">
        <v>73</v>
      </c>
      <c r="N13" s="16"/>
    </row>
    <row r="14" spans="1:14" hidden="1" x14ac:dyDescent="0.3">
      <c r="A14" s="29" t="s">
        <v>1174</v>
      </c>
      <c r="B14" s="15">
        <v>1</v>
      </c>
      <c r="C14" s="16" t="e">
        <f>IF([2]!Artículos4[[#This Row],[Proveedor (código)]]="","",VLOOKUP([2]!Artículos4[[#This Row],[Proveedor (código)]],[2]Proveedores!A:B,2,FALSE))</f>
        <v>#REF!</v>
      </c>
      <c r="D14" s="29" t="s">
        <v>105</v>
      </c>
      <c r="E14" s="29" t="s">
        <v>69</v>
      </c>
      <c r="F14" s="51"/>
      <c r="G14" s="14"/>
      <c r="H14" s="14"/>
      <c r="I14" s="14"/>
      <c r="J14" s="16">
        <f>SUMIFS(Entradas!G:G,Entradas!E:E,Artículos[[#This Row],[Código]])</f>
        <v>0</v>
      </c>
      <c r="K14" s="16">
        <f>SUMIFS(Salidas!G:G,Salidas!E:E,Artículos[[#This Row],[Código]])</f>
        <v>0</v>
      </c>
      <c r="L14" s="16">
        <f>Artículos[[#This Row],[Existencias iniciales]]+Artículos[[#This Row],[Entradas]]-Artículos[[#This Row],[Salidas]]</f>
        <v>0</v>
      </c>
      <c r="M14" s="16" t="s">
        <v>73</v>
      </c>
      <c r="N14" s="16"/>
    </row>
    <row r="15" spans="1:14" hidden="1" x14ac:dyDescent="0.3">
      <c r="A15" s="29" t="s">
        <v>1175</v>
      </c>
      <c r="B15" s="15">
        <v>1</v>
      </c>
      <c r="C15" s="16" t="e">
        <f>IF([2]!Artículos4[[#This Row],[Proveedor (código)]]="","",VLOOKUP([2]!Artículos4[[#This Row],[Proveedor (código)]],[2]Proveedores!A:B,2,FALSE))</f>
        <v>#REF!</v>
      </c>
      <c r="D15" s="29" t="s">
        <v>106</v>
      </c>
      <c r="E15" s="29" t="s">
        <v>69</v>
      </c>
      <c r="F15" s="51">
        <v>7.9</v>
      </c>
      <c r="G15" s="14"/>
      <c r="H15" s="14"/>
      <c r="I15" s="14">
        <v>4</v>
      </c>
      <c r="J15" s="16">
        <f>SUMIFS(Entradas!G:G,Entradas!E:E,Artículos[[#This Row],[Código]])</f>
        <v>2</v>
      </c>
      <c r="K15" s="16">
        <f>SUMIFS(Salidas!G:G,Salidas!E:E,Artículos[[#This Row],[Código]])</f>
        <v>0</v>
      </c>
      <c r="L15" s="16">
        <f>Artículos[[#This Row],[Existencias iniciales]]+Artículos[[#This Row],[Entradas]]-Artículos[[#This Row],[Salidas]]</f>
        <v>6</v>
      </c>
      <c r="M15" s="16" t="s">
        <v>69</v>
      </c>
      <c r="N15" s="16"/>
    </row>
    <row r="16" spans="1:14" hidden="1" x14ac:dyDescent="0.3">
      <c r="A16" s="29" t="s">
        <v>1176</v>
      </c>
      <c r="B16" s="15"/>
      <c r="C16" s="16" t="e">
        <f>IF([2]!Artículos4[[#This Row],[Proveedor (código)]]="","",VLOOKUP([2]!Artículos4[[#This Row],[Proveedor (código)]],[2]Proveedores!A:B,2,FALSE))</f>
        <v>#REF!</v>
      </c>
      <c r="D16" s="29" t="s">
        <v>107</v>
      </c>
      <c r="E16" s="29" t="s">
        <v>69</v>
      </c>
      <c r="F16" s="51"/>
      <c r="G16" s="14"/>
      <c r="H16" s="14"/>
      <c r="I16" s="14">
        <v>17</v>
      </c>
      <c r="J16" s="16">
        <f>SUMIFS(Entradas!G:G,Entradas!E:E,Artículos[[#This Row],[Código]])</f>
        <v>0</v>
      </c>
      <c r="K16" s="16">
        <f>SUMIFS(Salidas!G:G,Salidas!E:E,Artículos[[#This Row],[Código]])</f>
        <v>0</v>
      </c>
      <c r="L16" s="16">
        <f>Artículos[[#This Row],[Existencias iniciales]]+Artículos[[#This Row],[Entradas]]-Artículos[[#This Row],[Salidas]]</f>
        <v>17</v>
      </c>
      <c r="M16" s="16" t="s">
        <v>69</v>
      </c>
      <c r="N16" s="16"/>
    </row>
    <row r="17" spans="1:14" hidden="1" x14ac:dyDescent="0.3">
      <c r="A17" s="29" t="s">
        <v>1177</v>
      </c>
      <c r="B17" s="15">
        <v>1</v>
      </c>
      <c r="C17" s="16" t="e">
        <f>IF([2]!Artículos4[[#This Row],[Proveedor (código)]]="","",VLOOKUP([2]!Artículos4[[#This Row],[Proveedor (código)]],[2]Proveedores!A:B,2,FALSE))</f>
        <v>#REF!</v>
      </c>
      <c r="D17" s="29" t="s">
        <v>108</v>
      </c>
      <c r="E17" s="29" t="s">
        <v>69</v>
      </c>
      <c r="F17" s="51"/>
      <c r="G17" s="14"/>
      <c r="H17" s="14"/>
      <c r="I17" s="14">
        <v>19</v>
      </c>
      <c r="J17" s="16">
        <f>SUMIFS(Entradas!G:G,Entradas!E:E,Artículos[[#This Row],[Código]])</f>
        <v>0</v>
      </c>
      <c r="K17" s="16">
        <f>SUMIFS(Salidas!G:G,Salidas!E:E,Artículos[[#This Row],[Código]])</f>
        <v>0</v>
      </c>
      <c r="L17" s="16">
        <f>Artículos[[#This Row],[Existencias iniciales]]+Artículos[[#This Row],[Entradas]]-Artículos[[#This Row],[Salidas]]</f>
        <v>19</v>
      </c>
      <c r="M17" s="16" t="s">
        <v>69</v>
      </c>
      <c r="N17" s="16"/>
    </row>
    <row r="18" spans="1:14" ht="25.8" hidden="1" customHeight="1" x14ac:dyDescent="0.3">
      <c r="A18" s="29" t="s">
        <v>1178</v>
      </c>
      <c r="B18" s="15">
        <v>1</v>
      </c>
      <c r="C18" s="16" t="e">
        <f>IF([2]!Artículos4[[#This Row],[Proveedor (código)]]="","",VLOOKUP([2]!Artículos4[[#This Row],[Proveedor (código)]],[2]Proveedores!A:B,2,FALSE))</f>
        <v>#REF!</v>
      </c>
      <c r="D18" s="29" t="s">
        <v>109</v>
      </c>
      <c r="E18" s="29" t="s">
        <v>69</v>
      </c>
      <c r="F18" s="51"/>
      <c r="G18" s="14"/>
      <c r="H18" s="14"/>
      <c r="I18" s="14">
        <v>5</v>
      </c>
      <c r="J18" s="16">
        <f>SUMIFS(Entradas!G:G,Entradas!E:E,Artículos[[#This Row],[Código]])</f>
        <v>0</v>
      </c>
      <c r="K18" s="16">
        <f>SUMIFS(Salidas!G:G,Salidas!E:E,Artículos[[#This Row],[Código]])</f>
        <v>0</v>
      </c>
      <c r="L18" s="16">
        <f>Artículos[[#This Row],[Existencias iniciales]]+Artículos[[#This Row],[Entradas]]-Artículos[[#This Row],[Salidas]]</f>
        <v>5</v>
      </c>
      <c r="M18" s="16" t="s">
        <v>69</v>
      </c>
      <c r="N18" s="16"/>
    </row>
    <row r="19" spans="1:14" hidden="1" x14ac:dyDescent="0.3">
      <c r="A19" s="29" t="s">
        <v>1179</v>
      </c>
      <c r="B19" s="15">
        <v>1</v>
      </c>
      <c r="C19" s="16" t="e">
        <f>IF([2]!Artículos4[[#This Row],[Proveedor (código)]]="","",VLOOKUP([2]!Artículos4[[#This Row],[Proveedor (código)]],[2]Proveedores!A:B,2,FALSE))</f>
        <v>#REF!</v>
      </c>
      <c r="D19" s="29" t="s">
        <v>110</v>
      </c>
      <c r="E19" s="29" t="s">
        <v>69</v>
      </c>
      <c r="F19" s="51"/>
      <c r="G19" s="14"/>
      <c r="H19" s="14"/>
      <c r="I19" s="14"/>
      <c r="J19" s="16">
        <f>SUMIFS(Entradas!G:G,Entradas!E:E,Artículos[[#This Row],[Código]])</f>
        <v>0</v>
      </c>
      <c r="K19" s="16">
        <f>SUMIFS(Salidas!G:G,Salidas!E:E,Artículos[[#This Row],[Código]])</f>
        <v>0</v>
      </c>
      <c r="L19" s="16">
        <f>Artículos[[#This Row],[Existencias iniciales]]+Artículos[[#This Row],[Entradas]]-Artículos[[#This Row],[Salidas]]</f>
        <v>0</v>
      </c>
      <c r="M19" s="16" t="s">
        <v>47</v>
      </c>
      <c r="N19" s="16"/>
    </row>
    <row r="20" spans="1:14" hidden="1" x14ac:dyDescent="0.3">
      <c r="A20" s="29" t="s">
        <v>1180</v>
      </c>
      <c r="B20" s="15">
        <v>1</v>
      </c>
      <c r="C20" s="16" t="e">
        <f>IF([2]!Artículos4[[#This Row],[Proveedor (código)]]="","",VLOOKUP([2]!Artículos4[[#This Row],[Proveedor (código)]],[2]Proveedores!A:B,2,FALSE))</f>
        <v>#REF!</v>
      </c>
      <c r="D20" s="29" t="s">
        <v>111</v>
      </c>
      <c r="E20" s="29" t="s">
        <v>69</v>
      </c>
      <c r="F20" s="51"/>
      <c r="G20" s="14"/>
      <c r="H20" s="14"/>
      <c r="I20" s="14"/>
      <c r="J20" s="16">
        <f>SUMIFS(Entradas!G:G,Entradas!E:E,Artículos[[#This Row],[Código]])</f>
        <v>0</v>
      </c>
      <c r="K20" s="16">
        <f>SUMIFS(Salidas!G:G,Salidas!E:E,Artículos[[#This Row],[Código]])</f>
        <v>3</v>
      </c>
      <c r="L20" s="16">
        <f>Artículos[[#This Row],[Existencias iniciales]]+Artículos[[#This Row],[Entradas]]-Artículos[[#This Row],[Salidas]]</f>
        <v>-3</v>
      </c>
      <c r="M20" s="16" t="s">
        <v>69</v>
      </c>
      <c r="N20" s="16"/>
    </row>
    <row r="21" spans="1:14" hidden="1" x14ac:dyDescent="0.3">
      <c r="A21" s="29" t="s">
        <v>1181</v>
      </c>
      <c r="B21" s="15">
        <v>1</v>
      </c>
      <c r="C21" s="16" t="e">
        <f>IF([2]!Artículos4[[#This Row],[Proveedor (código)]]="","",VLOOKUP([2]!Artículos4[[#This Row],[Proveedor (código)]],[2]Proveedores!A:B,2,FALSE))</f>
        <v>#REF!</v>
      </c>
      <c r="D21" s="29" t="s">
        <v>112</v>
      </c>
      <c r="E21" s="29" t="s">
        <v>69</v>
      </c>
      <c r="F21" s="51"/>
      <c r="G21" s="14"/>
      <c r="H21" s="14"/>
      <c r="I21" s="14">
        <v>5</v>
      </c>
      <c r="J21" s="16">
        <f>SUMIFS(Entradas!G:G,Entradas!E:E,Artículos[[#This Row],[Código]])</f>
        <v>0</v>
      </c>
      <c r="K21" s="16">
        <f>SUMIFS(Salidas!G:G,Salidas!E:E,Artículos[[#This Row],[Código]])</f>
        <v>0</v>
      </c>
      <c r="L21" s="16">
        <f>Artículos[[#This Row],[Existencias iniciales]]+Artículos[[#This Row],[Entradas]]-Artículos[[#This Row],[Salidas]]</f>
        <v>5</v>
      </c>
      <c r="M21" s="16" t="s">
        <v>69</v>
      </c>
      <c r="N21" s="16"/>
    </row>
    <row r="22" spans="1:14" hidden="1" x14ac:dyDescent="0.3">
      <c r="A22" s="29" t="s">
        <v>1182</v>
      </c>
      <c r="B22" s="15">
        <v>1</v>
      </c>
      <c r="C22" s="16" t="e">
        <f>IF([2]!Artículos4[[#This Row],[Proveedor (código)]]="","",VLOOKUP([2]!Artículos4[[#This Row],[Proveedor (código)]],[2]Proveedores!A:B,2,FALSE))</f>
        <v>#REF!</v>
      </c>
      <c r="D22" s="29" t="s">
        <v>113</v>
      </c>
      <c r="E22" s="29" t="s">
        <v>69</v>
      </c>
      <c r="F22" s="51"/>
      <c r="G22" s="14"/>
      <c r="H22" s="14"/>
      <c r="I22" s="14"/>
      <c r="J22" s="16">
        <f>SUMIFS(Entradas!G:G,Entradas!E:E,Artículos[[#This Row],[Código]])</f>
        <v>0</v>
      </c>
      <c r="K22" s="16">
        <f>SUMIFS(Salidas!G:G,Salidas!E:E,Artículos[[#This Row],[Código]])</f>
        <v>0</v>
      </c>
      <c r="L22" s="16">
        <f>Artículos[[#This Row],[Existencias iniciales]]+Artículos[[#This Row],[Entradas]]-Artículos[[#This Row],[Salidas]]</f>
        <v>0</v>
      </c>
      <c r="M22" s="16" t="s">
        <v>69</v>
      </c>
      <c r="N22" s="16"/>
    </row>
    <row r="23" spans="1:14" hidden="1" x14ac:dyDescent="0.3">
      <c r="A23" s="29" t="s">
        <v>1183</v>
      </c>
      <c r="B23" s="15"/>
      <c r="C23" s="16" t="e">
        <f>IF([2]!Artículos4[[#This Row],[Proveedor (código)]]="","",VLOOKUP([2]!Artículos4[[#This Row],[Proveedor (código)]],[2]Proveedores!A:B,2,FALSE))</f>
        <v>#REF!</v>
      </c>
      <c r="D23" s="29" t="s">
        <v>114</v>
      </c>
      <c r="E23" s="29" t="s">
        <v>69</v>
      </c>
      <c r="F23" s="51">
        <v>5.91</v>
      </c>
      <c r="G23" s="14"/>
      <c r="H23" s="14"/>
      <c r="I23" s="14"/>
      <c r="J23" s="16">
        <f>SUMIFS(Entradas!G:G,Entradas!E:E,Artículos[[#This Row],[Código]])</f>
        <v>2</v>
      </c>
      <c r="K23" s="16">
        <f>SUMIFS(Salidas!G:G,Salidas!E:E,Artículos[[#This Row],[Código]])</f>
        <v>0</v>
      </c>
      <c r="L23" s="16">
        <f>Artículos[[#This Row],[Existencias iniciales]]+Artículos[[#This Row],[Entradas]]-Artículos[[#This Row],[Salidas]]</f>
        <v>2</v>
      </c>
      <c r="M23" s="16" t="s">
        <v>69</v>
      </c>
      <c r="N23" s="16"/>
    </row>
    <row r="24" spans="1:14" hidden="1" x14ac:dyDescent="0.3">
      <c r="A24" s="29" t="s">
        <v>1184</v>
      </c>
      <c r="B24" s="15"/>
      <c r="C24" s="16" t="e">
        <f>IF([2]!Artículos4[[#This Row],[Proveedor (código)]]="","",VLOOKUP([2]!Artículos4[[#This Row],[Proveedor (código)]],[2]Proveedores!A:B,2,FALSE))</f>
        <v>#REF!</v>
      </c>
      <c r="D24" s="29" t="s">
        <v>115</v>
      </c>
      <c r="E24" s="29" t="s">
        <v>69</v>
      </c>
      <c r="F24" s="51"/>
      <c r="G24" s="14"/>
      <c r="H24" s="14"/>
      <c r="I24" s="14"/>
      <c r="J24" s="16">
        <f>SUMIFS(Entradas!G:G,Entradas!E:E,Artículos[[#This Row],[Código]])</f>
        <v>0</v>
      </c>
      <c r="K24" s="16">
        <f>SUMIFS(Salidas!G:G,Salidas!E:E,Artículos[[#This Row],[Código]])</f>
        <v>0</v>
      </c>
      <c r="L24" s="16">
        <f>Artículos[[#This Row],[Existencias iniciales]]+Artículos[[#This Row],[Entradas]]-Artículos[[#This Row],[Salidas]]</f>
        <v>0</v>
      </c>
      <c r="M24" s="16" t="s">
        <v>69</v>
      </c>
      <c r="N24" s="16"/>
    </row>
    <row r="25" spans="1:14" hidden="1" x14ac:dyDescent="0.3">
      <c r="A25" s="29" t="s">
        <v>1185</v>
      </c>
      <c r="B25" s="15"/>
      <c r="C25" s="16" t="e">
        <f>IF([2]!Artículos4[[#This Row],[Proveedor (código)]]="","",VLOOKUP([2]!Artículos4[[#This Row],[Proveedor (código)]],[2]Proveedores!A:B,2,FALSE))</f>
        <v>#REF!</v>
      </c>
      <c r="D25" s="29" t="s">
        <v>116</v>
      </c>
      <c r="E25" s="29" t="s">
        <v>69</v>
      </c>
      <c r="F25" s="51"/>
      <c r="G25" s="14"/>
      <c r="H25" s="14"/>
      <c r="I25" s="14">
        <v>1</v>
      </c>
      <c r="J25" s="16">
        <f>SUMIFS(Entradas!G:G,Entradas!E:E,Artículos[[#This Row],[Código]])</f>
        <v>0</v>
      </c>
      <c r="K25" s="16">
        <f>SUMIFS(Salidas!G:G,Salidas!E:E,Artículos[[#This Row],[Código]])</f>
        <v>0</v>
      </c>
      <c r="L25" s="16">
        <f>Artículos[[#This Row],[Existencias iniciales]]+Artículos[[#This Row],[Entradas]]-Artículos[[#This Row],[Salidas]]</f>
        <v>1</v>
      </c>
      <c r="M25" s="16" t="s">
        <v>69</v>
      </c>
      <c r="N25" s="16"/>
    </row>
    <row r="26" spans="1:14" hidden="1" x14ac:dyDescent="0.3">
      <c r="A26" s="29" t="s">
        <v>1186</v>
      </c>
      <c r="B26" s="15"/>
      <c r="C26" s="16"/>
      <c r="D26" s="29" t="s">
        <v>117</v>
      </c>
      <c r="E26" s="29" t="s">
        <v>69</v>
      </c>
      <c r="F26" s="51">
        <v>6.89</v>
      </c>
      <c r="G26" s="14"/>
      <c r="H26" s="14"/>
      <c r="I26" s="14">
        <v>6</v>
      </c>
      <c r="J26" s="16">
        <f>SUMIFS(Entradas!G:G,Entradas!E:E,Artículos[[#This Row],[Código]])</f>
        <v>1</v>
      </c>
      <c r="K26" s="16">
        <f>SUMIFS(Salidas!G:G,Salidas!E:E,Artículos[[#This Row],[Código]])</f>
        <v>0</v>
      </c>
      <c r="L26" s="16">
        <f>Artículos[[#This Row],[Existencias iniciales]]+Artículos[[#This Row],[Entradas]]-Artículos[[#This Row],[Salidas]]</f>
        <v>7</v>
      </c>
      <c r="M26" s="16" t="s">
        <v>69</v>
      </c>
      <c r="N26" s="16"/>
    </row>
    <row r="27" spans="1:14" hidden="1" x14ac:dyDescent="0.3">
      <c r="A27" s="29" t="s">
        <v>1187</v>
      </c>
      <c r="B27" s="15"/>
      <c r="C27" s="16" t="e">
        <f>IF([2]!Artículos4[[#This Row],[Proveedor (código)]]="","",VLOOKUP([2]!Artículos4[[#This Row],[Proveedor (código)]],[2]Proveedores!A:B,2,FALSE))</f>
        <v>#REF!</v>
      </c>
      <c r="D27" s="29" t="s">
        <v>118</v>
      </c>
      <c r="E27" s="29" t="s">
        <v>69</v>
      </c>
      <c r="F27" s="51"/>
      <c r="G27" s="14"/>
      <c r="H27" s="14"/>
      <c r="I27" s="14">
        <v>4</v>
      </c>
      <c r="J27" s="16">
        <f>SUMIFS(Entradas!G:G,Entradas!E:E,Artículos[[#This Row],[Código]])</f>
        <v>0</v>
      </c>
      <c r="K27" s="16">
        <f>SUMIFS(Salidas!G:G,Salidas!E:E,Artículos[[#This Row],[Código]])</f>
        <v>0</v>
      </c>
      <c r="L27" s="16">
        <f>Artículos[[#This Row],[Existencias iniciales]]+Artículos[[#This Row],[Entradas]]-Artículos[[#This Row],[Salidas]]</f>
        <v>4</v>
      </c>
      <c r="M27" s="16" t="s">
        <v>80</v>
      </c>
      <c r="N27" s="16"/>
    </row>
    <row r="28" spans="1:14" hidden="1" x14ac:dyDescent="0.3">
      <c r="A28" s="29" t="s">
        <v>1188</v>
      </c>
      <c r="B28" s="15"/>
      <c r="C28" s="16" t="e">
        <f>IF([2]!Artículos4[[#This Row],[Proveedor (código)]]="","",VLOOKUP([2]!Artículos4[[#This Row],[Proveedor (código)]],[2]Proveedores!A:B,2,FALSE))</f>
        <v>#REF!</v>
      </c>
      <c r="D28" s="29" t="s">
        <v>119</v>
      </c>
      <c r="E28" s="29" t="s">
        <v>69</v>
      </c>
      <c r="F28" s="51"/>
      <c r="G28" s="14"/>
      <c r="H28" s="14"/>
      <c r="I28" s="14">
        <v>1</v>
      </c>
      <c r="J28" s="16">
        <f>SUMIFS(Entradas!G:G,Entradas!E:E,Artículos[[#This Row],[Código]])</f>
        <v>0</v>
      </c>
      <c r="K28" s="16">
        <f>SUMIFS(Salidas!G:G,Salidas!E:E,Artículos[[#This Row],[Código]])</f>
        <v>0</v>
      </c>
      <c r="L28" s="16">
        <f>Artículos[[#This Row],[Existencias iniciales]]+Artículos[[#This Row],[Entradas]]-Artículos[[#This Row],[Salidas]]</f>
        <v>1</v>
      </c>
      <c r="M28" s="16"/>
      <c r="N28" s="16"/>
    </row>
    <row r="29" spans="1:14" hidden="1" x14ac:dyDescent="0.3">
      <c r="A29" s="29" t="s">
        <v>1189</v>
      </c>
      <c r="B29" s="15"/>
      <c r="C29" s="16" t="e">
        <f>IF([2]!Artículos4[[#This Row],[Proveedor (código)]]="","",VLOOKUP([2]!Artículos4[[#This Row],[Proveedor (código)]],[2]Proveedores!A:B,2,FALSE))</f>
        <v>#REF!</v>
      </c>
      <c r="D29" s="29" t="s">
        <v>120</v>
      </c>
      <c r="E29" s="29" t="s">
        <v>69</v>
      </c>
      <c r="F29" s="51"/>
      <c r="G29" s="14"/>
      <c r="H29" s="14"/>
      <c r="I29" s="14">
        <v>2</v>
      </c>
      <c r="J29" s="16">
        <f>SUMIFS(Entradas!G:G,Entradas!E:E,Artículos[[#This Row],[Código]])</f>
        <v>0</v>
      </c>
      <c r="K29" s="16">
        <f>SUMIFS(Salidas!G:G,Salidas!E:E,Artículos[[#This Row],[Código]])</f>
        <v>0</v>
      </c>
      <c r="L29" s="16">
        <f>Artículos[[#This Row],[Existencias iniciales]]+Artículos[[#This Row],[Entradas]]-Artículos[[#This Row],[Salidas]]</f>
        <v>2</v>
      </c>
      <c r="M29" s="16"/>
      <c r="N29" s="16"/>
    </row>
    <row r="30" spans="1:14" hidden="1" x14ac:dyDescent="0.3">
      <c r="A30" s="29" t="s">
        <v>1190</v>
      </c>
      <c r="B30" s="15"/>
      <c r="C30" s="16" t="e">
        <f>IF([2]!Artículos4[[#This Row],[Proveedor (código)]]="","",VLOOKUP([2]!Artículos4[[#This Row],[Proveedor (código)]],[2]Proveedores!A:B,2,FALSE))</f>
        <v>#REF!</v>
      </c>
      <c r="D30" s="29" t="s">
        <v>121</v>
      </c>
      <c r="E30" s="29" t="s">
        <v>69</v>
      </c>
      <c r="F30" s="51">
        <v>6.7</v>
      </c>
      <c r="G30" s="14"/>
      <c r="H30" s="14"/>
      <c r="I30" s="14">
        <v>1</v>
      </c>
      <c r="J30" s="16">
        <f>SUMIFS(Entradas!G:G,Entradas!E:E,Artículos[[#This Row],[Código]])</f>
        <v>0</v>
      </c>
      <c r="K30" s="16">
        <f>SUMIFS(Salidas!G:G,Salidas!E:E,Artículos[[#This Row],[Código]])</f>
        <v>0</v>
      </c>
      <c r="L30" s="16">
        <f>Artículos[[#This Row],[Existencias iniciales]]+Artículos[[#This Row],[Entradas]]-Artículos[[#This Row],[Salidas]]</f>
        <v>1</v>
      </c>
      <c r="M30" s="16"/>
      <c r="N30" s="16"/>
    </row>
    <row r="31" spans="1:14" hidden="1" x14ac:dyDescent="0.3">
      <c r="A31" s="29" t="s">
        <v>1191</v>
      </c>
      <c r="B31" s="15"/>
      <c r="C31" s="16" t="e">
        <f>IF([2]!Artículos4[[#This Row],[Proveedor (código)]]="","",VLOOKUP([2]!Artículos4[[#This Row],[Proveedor (código)]],[2]Proveedores!A:B,2,FALSE))</f>
        <v>#REF!</v>
      </c>
      <c r="D31" s="29" t="s">
        <v>122</v>
      </c>
      <c r="E31" s="29" t="s">
        <v>69</v>
      </c>
      <c r="F31" s="51"/>
      <c r="G31" s="14"/>
      <c r="H31" s="14"/>
      <c r="I31" s="14"/>
      <c r="J31" s="16">
        <f>SUMIFS(Entradas!G:G,Entradas!E:E,Artículos[[#This Row],[Código]])</f>
        <v>0</v>
      </c>
      <c r="K31" s="16">
        <f>SUMIFS(Salidas!G:G,Salidas!E:E,Artículos[[#This Row],[Código]])</f>
        <v>0</v>
      </c>
      <c r="L31" s="16">
        <f>Artículos[[#This Row],[Existencias iniciales]]+Artículos[[#This Row],[Entradas]]-Artículos[[#This Row],[Salidas]]</f>
        <v>0</v>
      </c>
      <c r="M31" s="16"/>
      <c r="N31" s="16"/>
    </row>
    <row r="32" spans="1:14" hidden="1" x14ac:dyDescent="0.3">
      <c r="A32" s="29" t="s">
        <v>1192</v>
      </c>
      <c r="B32" s="15"/>
      <c r="C32" s="16" t="e">
        <f>IF([2]!Artículos4[[#This Row],[Proveedor (código)]]="","",VLOOKUP([2]!Artículos4[[#This Row],[Proveedor (código)]],[2]Proveedores!A:B,2,FALSE))</f>
        <v>#REF!</v>
      </c>
      <c r="D32" s="29" t="s">
        <v>43</v>
      </c>
      <c r="E32" s="29" t="s">
        <v>69</v>
      </c>
      <c r="F32" s="51"/>
      <c r="G32" s="14"/>
      <c r="H32" s="14"/>
      <c r="I32" s="14">
        <v>11</v>
      </c>
      <c r="J32" s="16">
        <f>SUMIFS(Entradas!G:G,Entradas!E:E,Artículos[[#This Row],[Código]])</f>
        <v>3</v>
      </c>
      <c r="K32" s="16">
        <f>SUMIFS(Salidas!G:G,Salidas!E:E,Artículos[[#This Row],[Código]])</f>
        <v>0</v>
      </c>
      <c r="L32" s="16">
        <f>Artículos[[#This Row],[Existencias iniciales]]+Artículos[[#This Row],[Entradas]]-Artículos[[#This Row],[Salidas]]</f>
        <v>14</v>
      </c>
      <c r="M32" s="16"/>
      <c r="N32" s="16"/>
    </row>
    <row r="33" spans="1:14" hidden="1" x14ac:dyDescent="0.3">
      <c r="A33" s="29" t="s">
        <v>1193</v>
      </c>
      <c r="B33" s="15"/>
      <c r="C33" s="16" t="e">
        <f>IF([2]!Artículos4[[#This Row],[Proveedor (código)]]="","",VLOOKUP([2]!Artículos4[[#This Row],[Proveedor (código)]],[2]Proveedores!A:B,2,FALSE))</f>
        <v>#REF!</v>
      </c>
      <c r="D33" s="29" t="s">
        <v>123</v>
      </c>
      <c r="E33" s="29" t="s">
        <v>69</v>
      </c>
      <c r="F33" s="51"/>
      <c r="G33" s="14"/>
      <c r="H33" s="14"/>
      <c r="I33" s="14">
        <v>4</v>
      </c>
      <c r="J33" s="16">
        <f>SUMIFS(Entradas!G:G,Entradas!E:E,Artículos[[#This Row],[Código]])</f>
        <v>0</v>
      </c>
      <c r="K33" s="16">
        <f>SUMIFS(Salidas!G:G,Salidas!E:E,Artículos[[#This Row],[Código]])</f>
        <v>0</v>
      </c>
      <c r="L33" s="16">
        <f>Artículos[[#This Row],[Existencias iniciales]]+Artículos[[#This Row],[Entradas]]-Artículos[[#This Row],[Salidas]]</f>
        <v>4</v>
      </c>
      <c r="M33" s="16"/>
      <c r="N33" s="16"/>
    </row>
    <row r="34" spans="1:14" hidden="1" x14ac:dyDescent="0.3">
      <c r="A34" s="29" t="s">
        <v>1194</v>
      </c>
      <c r="B34" s="15"/>
      <c r="C34" s="16" t="e">
        <f>IF([2]!Artículos4[[#This Row],[Proveedor (código)]]="","",VLOOKUP([2]!Artículos4[[#This Row],[Proveedor (código)]],[2]Proveedores!A:B,2,FALSE))</f>
        <v>#REF!</v>
      </c>
      <c r="D34" s="29" t="s">
        <v>124</v>
      </c>
      <c r="E34" s="29" t="s">
        <v>69</v>
      </c>
      <c r="F34" s="51"/>
      <c r="G34" s="14"/>
      <c r="H34" s="14"/>
      <c r="I34" s="14"/>
      <c r="J34" s="16">
        <f>SUMIFS(Entradas!G:G,Entradas!E:E,Artículos[[#This Row],[Código]])</f>
        <v>0</v>
      </c>
      <c r="K34" s="16">
        <f>SUMIFS(Salidas!G:G,Salidas!E:E,Artículos[[#This Row],[Código]])</f>
        <v>0</v>
      </c>
      <c r="L34" s="16">
        <f>Artículos[[#This Row],[Existencias iniciales]]+Artículos[[#This Row],[Entradas]]-Artículos[[#This Row],[Salidas]]</f>
        <v>0</v>
      </c>
      <c r="M34" s="16"/>
      <c r="N34" s="16"/>
    </row>
    <row r="35" spans="1:14" hidden="1" x14ac:dyDescent="0.3">
      <c r="A35" s="29" t="s">
        <v>1195</v>
      </c>
      <c r="B35" s="15"/>
      <c r="C35" s="16" t="e">
        <f>IF([2]!Artículos4[[#This Row],[Proveedor (código)]]="","",VLOOKUP([2]!Artículos4[[#This Row],[Proveedor (código)]],[2]Proveedores!A:B,2,FALSE))</f>
        <v>#REF!</v>
      </c>
      <c r="D35" s="29" t="s">
        <v>125</v>
      </c>
      <c r="E35" s="29" t="s">
        <v>69</v>
      </c>
      <c r="F35" s="51"/>
      <c r="G35" s="14"/>
      <c r="H35" s="14"/>
      <c r="I35" s="14"/>
      <c r="J35" s="16">
        <f>SUMIFS(Entradas!G:G,Entradas!E:E,Artículos[[#This Row],[Código]])</f>
        <v>0</v>
      </c>
      <c r="K35" s="16">
        <f>SUMIFS(Salidas!G:G,Salidas!E:E,Artículos[[#This Row],[Código]])</f>
        <v>0</v>
      </c>
      <c r="L35" s="16">
        <f>Artículos[[#This Row],[Existencias iniciales]]+Artículos[[#This Row],[Entradas]]-Artículos[[#This Row],[Salidas]]</f>
        <v>0</v>
      </c>
      <c r="M35" s="16"/>
      <c r="N35" s="16"/>
    </row>
    <row r="36" spans="1:14" hidden="1" x14ac:dyDescent="0.3">
      <c r="A36" s="29" t="s">
        <v>1196</v>
      </c>
      <c r="B36" s="15"/>
      <c r="C36" s="16" t="e">
        <f>IF([2]!Artículos4[[#This Row],[Proveedor (código)]]="","",VLOOKUP([2]!Artículos4[[#This Row],[Proveedor (código)]],[2]Proveedores!A:B,2,FALSE))</f>
        <v>#REF!</v>
      </c>
      <c r="D36" s="29" t="s">
        <v>45</v>
      </c>
      <c r="E36" s="29" t="s">
        <v>69</v>
      </c>
      <c r="F36" s="51">
        <v>2.92</v>
      </c>
      <c r="G36" s="14"/>
      <c r="H36" s="14"/>
      <c r="I36" s="14">
        <v>43</v>
      </c>
      <c r="J36" s="16">
        <f>SUMIFS(Entradas!G:G,Entradas!E:E,Artículos[[#This Row],[Código]])</f>
        <v>3</v>
      </c>
      <c r="K36" s="16">
        <f>SUMIFS(Salidas!G:G,Salidas!E:E,Artículos[[#This Row],[Código]])</f>
        <v>9</v>
      </c>
      <c r="L36" s="16">
        <f>Artículos[[#This Row],[Existencias iniciales]]+Artículos[[#This Row],[Entradas]]-Artículos[[#This Row],[Salidas]]</f>
        <v>37</v>
      </c>
      <c r="M36" s="16"/>
      <c r="N36" s="16"/>
    </row>
    <row r="37" spans="1:14" hidden="1" x14ac:dyDescent="0.3">
      <c r="A37" s="29" t="s">
        <v>1197</v>
      </c>
      <c r="B37" s="15"/>
      <c r="C37" s="16" t="e">
        <f>IF([2]!Artículos4[[#This Row],[Proveedor (código)]]="","",VLOOKUP([2]!Artículos4[[#This Row],[Proveedor (código)]],[2]Proveedores!A:B,2,FALSE))</f>
        <v>#REF!</v>
      </c>
      <c r="D37" s="29" t="s">
        <v>126</v>
      </c>
      <c r="E37" s="29" t="s">
        <v>69</v>
      </c>
      <c r="F37" s="51"/>
      <c r="G37" s="14"/>
      <c r="H37" s="14"/>
      <c r="I37" s="14">
        <v>22</v>
      </c>
      <c r="J37" s="16">
        <f>SUMIFS(Entradas!G:G,Entradas!E:E,Artículos[[#This Row],[Código]])</f>
        <v>0</v>
      </c>
      <c r="K37" s="16">
        <f>SUMIFS(Salidas!G:G,Salidas!E:E,Artículos[[#This Row],[Código]])</f>
        <v>5</v>
      </c>
      <c r="L37" s="16">
        <f>Artículos[[#This Row],[Existencias iniciales]]+Artículos[[#This Row],[Entradas]]-Artículos[[#This Row],[Salidas]]</f>
        <v>17</v>
      </c>
      <c r="M37" s="16"/>
      <c r="N37" s="16"/>
    </row>
    <row r="38" spans="1:14" hidden="1" x14ac:dyDescent="0.3">
      <c r="A38" s="29" t="s">
        <v>1198</v>
      </c>
      <c r="B38" s="15"/>
      <c r="C38" s="16" t="e">
        <f>IF([2]!Artículos4[[#This Row],[Proveedor (código)]]="","",VLOOKUP([2]!Artículos4[[#This Row],[Proveedor (código)]],[2]Proveedores!A:B,2,FALSE))</f>
        <v>#REF!</v>
      </c>
      <c r="D38" s="29" t="s">
        <v>127</v>
      </c>
      <c r="E38" s="29" t="s">
        <v>69</v>
      </c>
      <c r="F38" s="51"/>
      <c r="G38" s="14"/>
      <c r="H38" s="14"/>
      <c r="I38" s="14">
        <v>8</v>
      </c>
      <c r="J38" s="16">
        <f>SUMIFS(Entradas!G:G,Entradas!E:E,Artículos[[#This Row],[Código]])</f>
        <v>0</v>
      </c>
      <c r="K38" s="16">
        <f>SUMIFS(Salidas!G:G,Salidas!E:E,Artículos[[#This Row],[Código]])</f>
        <v>0</v>
      </c>
      <c r="L38" s="16">
        <f>Artículos[[#This Row],[Existencias iniciales]]+Artículos[[#This Row],[Entradas]]-Artículos[[#This Row],[Salidas]]</f>
        <v>8</v>
      </c>
      <c r="M38" s="16"/>
      <c r="N38" s="16"/>
    </row>
    <row r="39" spans="1:14" hidden="1" x14ac:dyDescent="0.3">
      <c r="A39" s="29" t="s">
        <v>1199</v>
      </c>
      <c r="B39" s="15"/>
      <c r="C39" s="16" t="e">
        <f>IF([2]!Artículos4[[#This Row],[Proveedor (código)]]="","",VLOOKUP([2]!Artículos4[[#This Row],[Proveedor (código)]],[2]Proveedores!A:B,2,FALSE))</f>
        <v>#REF!</v>
      </c>
      <c r="D39" s="29" t="s">
        <v>128</v>
      </c>
      <c r="E39" s="29" t="s">
        <v>69</v>
      </c>
      <c r="F39" s="51"/>
      <c r="G39" s="14"/>
      <c r="H39" s="14"/>
      <c r="I39" s="14">
        <v>12</v>
      </c>
      <c r="J39" s="16">
        <f>SUMIFS(Entradas!G:G,Entradas!E:E,Artículos[[#This Row],[Código]])</f>
        <v>0</v>
      </c>
      <c r="K39" s="16">
        <f>SUMIFS(Salidas!G:G,Salidas!E:E,Artículos[[#This Row],[Código]])</f>
        <v>0</v>
      </c>
      <c r="L39" s="16">
        <f>Artículos[[#This Row],[Existencias iniciales]]+Artículos[[#This Row],[Entradas]]-Artículos[[#This Row],[Salidas]]</f>
        <v>12</v>
      </c>
      <c r="M39" s="16"/>
      <c r="N39" s="16"/>
    </row>
    <row r="40" spans="1:14" hidden="1" x14ac:dyDescent="0.3">
      <c r="A40" s="29" t="s">
        <v>1200</v>
      </c>
      <c r="B40" s="15"/>
      <c r="C40" s="16" t="e">
        <f>IF([2]!Artículos4[[#This Row],[Proveedor (código)]]="","",VLOOKUP([2]!Artículos4[[#This Row],[Proveedor (código)]],[2]Proveedores!A:B,2,FALSE))</f>
        <v>#REF!</v>
      </c>
      <c r="D40" s="29" t="s">
        <v>129</v>
      </c>
      <c r="E40" s="29" t="s">
        <v>69</v>
      </c>
      <c r="F40" s="51"/>
      <c r="G40" s="14"/>
      <c r="H40" s="14"/>
      <c r="I40" s="14"/>
      <c r="J40" s="16">
        <f>SUMIFS(Entradas!G:G,Entradas!E:E,Artículos[[#This Row],[Código]])</f>
        <v>0</v>
      </c>
      <c r="K40" s="16">
        <f>SUMIFS(Salidas!G:G,Salidas!E:E,Artículos[[#This Row],[Código]])</f>
        <v>0</v>
      </c>
      <c r="L40" s="16">
        <f>Artículos[[#This Row],[Existencias iniciales]]+Artículos[[#This Row],[Entradas]]-Artículos[[#This Row],[Salidas]]</f>
        <v>0</v>
      </c>
      <c r="M40" s="16"/>
      <c r="N40" s="16"/>
    </row>
    <row r="41" spans="1:14" hidden="1" x14ac:dyDescent="0.3">
      <c r="A41" s="29" t="s">
        <v>1201</v>
      </c>
      <c r="B41" s="15"/>
      <c r="C41" s="16" t="e">
        <f>IF([2]!Artículos4[[#This Row],[Proveedor (código)]]="","",VLOOKUP([2]!Artículos4[[#This Row],[Proveedor (código)]],[2]Proveedores!A:B,2,FALSE))</f>
        <v>#REF!</v>
      </c>
      <c r="D41" s="29" t="s">
        <v>130</v>
      </c>
      <c r="E41" s="29" t="s">
        <v>69</v>
      </c>
      <c r="F41" s="51">
        <v>5.05</v>
      </c>
      <c r="G41" s="14"/>
      <c r="H41" s="14"/>
      <c r="I41" s="14"/>
      <c r="J41" s="16">
        <f>SUMIFS(Entradas!G:G,Entradas!E:E,Artículos[[#This Row],[Código]])</f>
        <v>8</v>
      </c>
      <c r="K41" s="16">
        <f>SUMIFS(Salidas!G:G,Salidas!E:E,Artículos[[#This Row],[Código]])</f>
        <v>0</v>
      </c>
      <c r="L41" s="16">
        <f>Artículos[[#This Row],[Existencias iniciales]]+Artículos[[#This Row],[Entradas]]-Artículos[[#This Row],[Salidas]]</f>
        <v>8</v>
      </c>
      <c r="M41" s="16"/>
      <c r="N41" s="16"/>
    </row>
    <row r="42" spans="1:14" hidden="1" x14ac:dyDescent="0.3">
      <c r="A42" s="29" t="s">
        <v>1202</v>
      </c>
      <c r="B42" s="15"/>
      <c r="C42" s="16" t="e">
        <f>IF([2]!Artículos4[[#This Row],[Proveedor (código)]]="","",VLOOKUP([2]!Artículos4[[#This Row],[Proveedor (código)]],[2]Proveedores!A:B,2,FALSE))</f>
        <v>#REF!</v>
      </c>
      <c r="D42" s="29" t="s">
        <v>131</v>
      </c>
      <c r="E42" s="29" t="s">
        <v>69</v>
      </c>
      <c r="F42" s="51"/>
      <c r="G42" s="14"/>
      <c r="H42" s="14"/>
      <c r="I42" s="14"/>
      <c r="J42" s="16">
        <f>SUMIFS(Entradas!G:G,Entradas!E:E,Artículos[[#This Row],[Código]])</f>
        <v>0</v>
      </c>
      <c r="K42" s="16">
        <f>SUMIFS(Salidas!G:G,Salidas!E:E,Artículos[[#This Row],[Código]])</f>
        <v>0</v>
      </c>
      <c r="L42" s="16">
        <f>Artículos[[#This Row],[Existencias iniciales]]+Artículos[[#This Row],[Entradas]]-Artículos[[#This Row],[Salidas]]</f>
        <v>0</v>
      </c>
      <c r="M42" s="16"/>
      <c r="N42" s="16"/>
    </row>
    <row r="43" spans="1:14" hidden="1" x14ac:dyDescent="0.3">
      <c r="A43" s="29" t="s">
        <v>1203</v>
      </c>
      <c r="B43" s="15"/>
      <c r="C43" s="16" t="e">
        <f>IF([2]!Artículos4[[#This Row],[Proveedor (código)]]="","",VLOOKUP([2]!Artículos4[[#This Row],[Proveedor (código)]],[2]Proveedores!A:B,2,FALSE))</f>
        <v>#REF!</v>
      </c>
      <c r="D43" s="29" t="s">
        <v>132</v>
      </c>
      <c r="E43" s="29" t="s">
        <v>69</v>
      </c>
      <c r="F43" s="51"/>
      <c r="G43" s="14"/>
      <c r="H43" s="14"/>
      <c r="I43" s="14"/>
      <c r="J43" s="16">
        <f>SUMIFS(Entradas!G:G,Entradas!E:E,Artículos[[#This Row],[Código]])</f>
        <v>0</v>
      </c>
      <c r="K43" s="16">
        <f>SUMIFS(Salidas!G:G,Salidas!E:E,Artículos[[#This Row],[Código]])</f>
        <v>0</v>
      </c>
      <c r="L43" s="16">
        <f>Artículos[[#This Row],[Existencias iniciales]]+Artículos[[#This Row],[Entradas]]-Artículos[[#This Row],[Salidas]]</f>
        <v>0</v>
      </c>
      <c r="M43" s="16"/>
      <c r="N43" s="16"/>
    </row>
    <row r="44" spans="1:14" hidden="1" x14ac:dyDescent="0.3">
      <c r="A44" s="29" t="s">
        <v>1204</v>
      </c>
      <c r="B44" s="15"/>
      <c r="C44" s="16" t="e">
        <f>IF([2]!Artículos4[[#This Row],[Proveedor (código)]]="","",VLOOKUP([2]!Artículos4[[#This Row],[Proveedor (código)]],[2]Proveedores!A:B,2,FALSE))</f>
        <v>#REF!</v>
      </c>
      <c r="D44" s="29" t="s">
        <v>134</v>
      </c>
      <c r="E44" s="29" t="s">
        <v>69</v>
      </c>
      <c r="F44" s="51"/>
      <c r="G44" s="14"/>
      <c r="H44" s="14"/>
      <c r="I44" s="14"/>
      <c r="J44" s="16">
        <f>SUMIFS(Entradas!G:G,Entradas!E:E,Artículos[[#This Row],[Código]])</f>
        <v>1</v>
      </c>
      <c r="K44" s="16">
        <f>SUMIFS(Salidas!G:G,Salidas!E:E,Artículos[[#This Row],[Código]])</f>
        <v>0</v>
      </c>
      <c r="L44" s="16">
        <f>Artículos[[#This Row],[Existencias iniciales]]+Artículos[[#This Row],[Entradas]]-Artículos[[#This Row],[Salidas]]</f>
        <v>1</v>
      </c>
      <c r="M44" s="16"/>
      <c r="N44" s="16"/>
    </row>
    <row r="45" spans="1:14" hidden="1" x14ac:dyDescent="0.3">
      <c r="A45" s="29" t="s">
        <v>1205</v>
      </c>
      <c r="B45" s="15"/>
      <c r="C45" s="16" t="e">
        <f>IF([2]!Artículos4[[#This Row],[Proveedor (código)]]="","",VLOOKUP([2]!Artículos4[[#This Row],[Proveedor (código)]],[2]Proveedores!A:B,2,FALSE))</f>
        <v>#REF!</v>
      </c>
      <c r="D45" s="29" t="s">
        <v>135</v>
      </c>
      <c r="E45" s="29" t="s">
        <v>69</v>
      </c>
      <c r="F45" s="51"/>
      <c r="G45" s="14"/>
      <c r="H45" s="14"/>
      <c r="I45" s="14"/>
      <c r="J45" s="16">
        <f>SUMIFS(Entradas!G:G,Entradas!E:E,Artículos[[#This Row],[Código]])</f>
        <v>0</v>
      </c>
      <c r="K45" s="16">
        <f>SUMIFS(Salidas!G:G,Salidas!E:E,Artículos[[#This Row],[Código]])</f>
        <v>0</v>
      </c>
      <c r="L45" s="16">
        <f>Artículos[[#This Row],[Existencias iniciales]]+Artículos[[#This Row],[Entradas]]-Artículos[[#This Row],[Salidas]]</f>
        <v>0</v>
      </c>
      <c r="M45" s="16"/>
      <c r="N45" s="16"/>
    </row>
    <row r="46" spans="1:14" hidden="1" x14ac:dyDescent="0.3">
      <c r="A46" s="29" t="s">
        <v>1206</v>
      </c>
      <c r="B46" s="15"/>
      <c r="C46" s="16" t="e">
        <f>IF([2]!Artículos4[[#This Row],[Proveedor (código)]]="","",VLOOKUP([2]!Artículos4[[#This Row],[Proveedor (código)]],[2]Proveedores!A:B,2,FALSE))</f>
        <v>#REF!</v>
      </c>
      <c r="D46" s="29" t="s">
        <v>136</v>
      </c>
      <c r="E46" s="29" t="s">
        <v>69</v>
      </c>
      <c r="F46" s="51"/>
      <c r="G46" s="14"/>
      <c r="H46" s="14"/>
      <c r="I46" s="14"/>
      <c r="J46" s="16">
        <f>SUMIFS(Entradas!G:G,Entradas!E:E,Artículos[[#This Row],[Código]])</f>
        <v>0</v>
      </c>
      <c r="K46" s="16">
        <f>SUMIFS(Salidas!G:G,Salidas!E:E,Artículos[[#This Row],[Código]])</f>
        <v>0</v>
      </c>
      <c r="L46" s="16">
        <f>Artículos[[#This Row],[Existencias iniciales]]+Artículos[[#This Row],[Entradas]]-Artículos[[#This Row],[Salidas]]</f>
        <v>0</v>
      </c>
      <c r="M46" s="16"/>
      <c r="N46" s="16"/>
    </row>
    <row r="47" spans="1:14" hidden="1" x14ac:dyDescent="0.3">
      <c r="A47" s="29" t="s">
        <v>1207</v>
      </c>
      <c r="B47" s="15"/>
      <c r="C47" s="16" t="e">
        <f>IF([2]!Artículos4[[#This Row],[Proveedor (código)]]="","",VLOOKUP([2]!Artículos4[[#This Row],[Proveedor (código)]],[2]Proveedores!A:B,2,FALSE))</f>
        <v>#REF!</v>
      </c>
      <c r="D47" s="29" t="s">
        <v>137</v>
      </c>
      <c r="E47" s="29" t="s">
        <v>69</v>
      </c>
      <c r="F47" s="51"/>
      <c r="G47" s="14"/>
      <c r="H47" s="14"/>
      <c r="I47" s="14">
        <v>1</v>
      </c>
      <c r="J47" s="16">
        <f>SUMIFS(Entradas!G:G,Entradas!E:E,Artículos[[#This Row],[Código]])</f>
        <v>1</v>
      </c>
      <c r="K47" s="16">
        <f>SUMIFS(Salidas!G:G,Salidas!E:E,Artículos[[#This Row],[Código]])</f>
        <v>2.5</v>
      </c>
      <c r="L47" s="16">
        <f>Artículos[[#This Row],[Existencias iniciales]]+Artículos[[#This Row],[Entradas]]-Artículos[[#This Row],[Salidas]]</f>
        <v>-0.5</v>
      </c>
      <c r="M47" s="16"/>
      <c r="N47" s="16"/>
    </row>
    <row r="48" spans="1:14" hidden="1" x14ac:dyDescent="0.3">
      <c r="A48" s="29" t="s">
        <v>1208</v>
      </c>
      <c r="B48" s="15"/>
      <c r="C48" s="16" t="e">
        <f>IF([2]!Artículos4[[#This Row],[Proveedor (código)]]="","",VLOOKUP([2]!Artículos4[[#This Row],[Proveedor (código)]],[2]Proveedores!A:B,2,FALSE))</f>
        <v>#REF!</v>
      </c>
      <c r="D48" s="29" t="s">
        <v>138</v>
      </c>
      <c r="E48" s="29" t="s">
        <v>69</v>
      </c>
      <c r="F48" s="51"/>
      <c r="G48" s="14"/>
      <c r="H48" s="14"/>
      <c r="I48" s="14"/>
      <c r="J48" s="16">
        <f>SUMIFS(Entradas!G:G,Entradas!E:E,Artículos[[#This Row],[Código]])</f>
        <v>0.75</v>
      </c>
      <c r="K48" s="16">
        <f>SUMIFS(Salidas!G:G,Salidas!E:E,Artículos[[#This Row],[Código]])</f>
        <v>3.5</v>
      </c>
      <c r="L48" s="16">
        <f>Artículos[[#This Row],[Existencias iniciales]]+Artículos[[#This Row],[Entradas]]-Artículos[[#This Row],[Salidas]]</f>
        <v>-2.75</v>
      </c>
      <c r="M48" s="16"/>
      <c r="N48" s="16"/>
    </row>
    <row r="49" spans="1:14" hidden="1" x14ac:dyDescent="0.3">
      <c r="A49" s="29" t="s">
        <v>1209</v>
      </c>
      <c r="B49" s="15"/>
      <c r="C49" s="16" t="e">
        <f>IF([2]!Artículos4[[#This Row],[Proveedor (código)]]="","",VLOOKUP([2]!Artículos4[[#This Row],[Proveedor (código)]],[2]Proveedores!A:B,2,FALSE))</f>
        <v>#REF!</v>
      </c>
      <c r="D49" s="29" t="s">
        <v>139</v>
      </c>
      <c r="E49" s="29" t="s">
        <v>69</v>
      </c>
      <c r="F49" s="51"/>
      <c r="G49" s="14"/>
      <c r="H49" s="14"/>
      <c r="I49" s="14">
        <v>4</v>
      </c>
      <c r="J49" s="16">
        <f>SUMIFS(Entradas!G:G,Entradas!E:E,Artículos[[#This Row],[Código]])</f>
        <v>0</v>
      </c>
      <c r="K49" s="16">
        <f>SUMIFS(Salidas!G:G,Salidas!E:E,Artículos[[#This Row],[Código]])</f>
        <v>0</v>
      </c>
      <c r="L49" s="16">
        <f>Artículos[[#This Row],[Existencias iniciales]]+Artículos[[#This Row],[Entradas]]-Artículos[[#This Row],[Salidas]]</f>
        <v>4</v>
      </c>
      <c r="M49" s="16"/>
      <c r="N49" s="16"/>
    </row>
    <row r="50" spans="1:14" hidden="1" x14ac:dyDescent="0.3">
      <c r="A50" s="29" t="s">
        <v>1210</v>
      </c>
      <c r="B50" s="15"/>
      <c r="C50" s="16" t="e">
        <f>IF([2]!Artículos4[[#This Row],[Proveedor (código)]]="","",VLOOKUP([2]!Artículos4[[#This Row],[Proveedor (código)]],[2]Proveedores!A:B,2,FALSE))</f>
        <v>#REF!</v>
      </c>
      <c r="D50" s="29" t="s">
        <v>140</v>
      </c>
      <c r="E50" s="29" t="s">
        <v>69</v>
      </c>
      <c r="F50" s="51"/>
      <c r="G50" s="14"/>
      <c r="H50" s="14"/>
      <c r="I50" s="14"/>
      <c r="J50" s="16">
        <f>SUMIFS(Entradas!G:G,Entradas!E:E,Artículos[[#This Row],[Código]])</f>
        <v>0</v>
      </c>
      <c r="K50" s="16">
        <f>SUMIFS(Salidas!G:G,Salidas!E:E,Artículos[[#This Row],[Código]])</f>
        <v>0</v>
      </c>
      <c r="L50" s="16">
        <f>Artículos[[#This Row],[Existencias iniciales]]+Artículos[[#This Row],[Entradas]]-Artículos[[#This Row],[Salidas]]</f>
        <v>0</v>
      </c>
      <c r="M50" s="16"/>
      <c r="N50" s="16"/>
    </row>
    <row r="51" spans="1:14" hidden="1" x14ac:dyDescent="0.3">
      <c r="A51" s="29" t="s">
        <v>1211</v>
      </c>
      <c r="B51" s="15"/>
      <c r="C51" s="16" t="e">
        <f>IF([2]!Artículos4[[#This Row],[Proveedor (código)]]="","",VLOOKUP([2]!Artículos4[[#This Row],[Proveedor (código)]],[2]Proveedores!A:B,2,FALSE))</f>
        <v>#REF!</v>
      </c>
      <c r="D51" s="29" t="s">
        <v>141</v>
      </c>
      <c r="E51" s="29" t="s">
        <v>69</v>
      </c>
      <c r="F51" s="51"/>
      <c r="G51" s="14"/>
      <c r="H51" s="14"/>
      <c r="I51" s="14"/>
      <c r="J51" s="16">
        <f>SUMIFS(Entradas!G:G,Entradas!E:E,Artículos[[#This Row],[Código]])</f>
        <v>0</v>
      </c>
      <c r="K51" s="16">
        <f>SUMIFS(Salidas!G:G,Salidas!E:E,Artículos[[#This Row],[Código]])</f>
        <v>0</v>
      </c>
      <c r="L51" s="16">
        <f>Artículos[[#This Row],[Existencias iniciales]]+Artículos[[#This Row],[Entradas]]-Artículos[[#This Row],[Salidas]]</f>
        <v>0</v>
      </c>
      <c r="M51" s="16"/>
      <c r="N51" s="16"/>
    </row>
    <row r="52" spans="1:14" hidden="1" x14ac:dyDescent="0.3">
      <c r="A52" s="29" t="s">
        <v>1212</v>
      </c>
      <c r="B52" s="15">
        <v>1</v>
      </c>
      <c r="C52" s="16" t="e">
        <f>IF([2]!Artículos4[[#This Row],[Proveedor (código)]]="","",VLOOKUP([2]!Artículos4[[#This Row],[Proveedor (código)]],[2]Proveedores!A:B,2,FALSE))</f>
        <v>#REF!</v>
      </c>
      <c r="D52" s="29" t="s">
        <v>142</v>
      </c>
      <c r="E52" s="29" t="s">
        <v>69</v>
      </c>
      <c r="F52" s="51"/>
      <c r="G52" s="14"/>
      <c r="H52" s="14"/>
      <c r="I52" s="14">
        <v>12</v>
      </c>
      <c r="J52" s="16">
        <f>SUMIFS(Entradas!G:G,Entradas!E:E,Artículos[[#This Row],[Código]])</f>
        <v>8</v>
      </c>
      <c r="K52" s="16">
        <f>SUMIFS(Salidas!G:G,Salidas!E:E,Artículos[[#This Row],[Código]])</f>
        <v>6</v>
      </c>
      <c r="L52" s="16">
        <f>Artículos[[#This Row],[Existencias iniciales]]+Artículos[[#This Row],[Entradas]]-Artículos[[#This Row],[Salidas]]</f>
        <v>14</v>
      </c>
      <c r="M52" s="16"/>
      <c r="N52" s="16"/>
    </row>
    <row r="53" spans="1:14" hidden="1" x14ac:dyDescent="0.3">
      <c r="A53" s="29" t="s">
        <v>1213</v>
      </c>
      <c r="B53" s="15">
        <v>1</v>
      </c>
      <c r="C53" s="16" t="e">
        <f>IF([2]!Artículos4[[#This Row],[Proveedor (código)]]="","",VLOOKUP([2]!Artículos4[[#This Row],[Proveedor (código)]],[2]Proveedores!A:B,2,FALSE))</f>
        <v>#REF!</v>
      </c>
      <c r="D53" s="29" t="s">
        <v>143</v>
      </c>
      <c r="E53" s="29" t="s">
        <v>69</v>
      </c>
      <c r="F53" s="51"/>
      <c r="G53" s="14"/>
      <c r="H53" s="14"/>
      <c r="I53" s="14">
        <v>12</v>
      </c>
      <c r="J53" s="16">
        <f>SUMIFS(Entradas!G:G,Entradas!E:E,Artículos[[#This Row],[Código]])</f>
        <v>0</v>
      </c>
      <c r="K53" s="16">
        <f>SUMIFS(Salidas!G:G,Salidas!E:E,Artículos[[#This Row],[Código]])</f>
        <v>3</v>
      </c>
      <c r="L53" s="16">
        <f>Artículos[[#This Row],[Existencias iniciales]]+Artículos[[#This Row],[Entradas]]-Artículos[[#This Row],[Salidas]]</f>
        <v>9</v>
      </c>
      <c r="M53" s="16"/>
      <c r="N53" s="16"/>
    </row>
    <row r="54" spans="1:14" hidden="1" x14ac:dyDescent="0.3">
      <c r="A54" s="29" t="s">
        <v>1214</v>
      </c>
      <c r="B54" s="15"/>
      <c r="C54" s="16" t="e">
        <f>IF([2]!Artículos4[[#This Row],[Proveedor (código)]]="","",VLOOKUP([2]!Artículos4[[#This Row],[Proveedor (código)]],[2]Proveedores!A:B,2,FALSE))</f>
        <v>#REF!</v>
      </c>
      <c r="D54" s="29" t="s">
        <v>144</v>
      </c>
      <c r="E54" s="29" t="s">
        <v>69</v>
      </c>
      <c r="F54" s="51"/>
      <c r="G54" s="14"/>
      <c r="H54" s="14"/>
      <c r="I54" s="14">
        <v>4</v>
      </c>
      <c r="J54" s="16">
        <f>SUMIFS(Entradas!G:G,Entradas!E:E,Artículos[[#This Row],[Código]])</f>
        <v>0</v>
      </c>
      <c r="K54" s="16">
        <f>SUMIFS(Salidas!G:G,Salidas!E:E,Artículos[[#This Row],[Código]])</f>
        <v>0</v>
      </c>
      <c r="L54" s="16">
        <f>Artículos[[#This Row],[Existencias iniciales]]+Artículos[[#This Row],[Entradas]]-Artículos[[#This Row],[Salidas]]</f>
        <v>4</v>
      </c>
      <c r="M54" s="16"/>
      <c r="N54" s="16"/>
    </row>
    <row r="55" spans="1:14" hidden="1" x14ac:dyDescent="0.3">
      <c r="A55" s="29" t="s">
        <v>1215</v>
      </c>
      <c r="B55" s="15">
        <v>1</v>
      </c>
      <c r="C55" s="16" t="e">
        <f>IF([2]!Artículos4[[#This Row],[Proveedor (código)]]="","",VLOOKUP([2]!Artículos4[[#This Row],[Proveedor (código)]],[2]Proveedores!A:B,2,FALSE))</f>
        <v>#REF!</v>
      </c>
      <c r="D55" s="29" t="s">
        <v>145</v>
      </c>
      <c r="E55" s="29" t="s">
        <v>69</v>
      </c>
      <c r="F55" s="51"/>
      <c r="G55" s="14"/>
      <c r="H55" s="14"/>
      <c r="I55" s="14">
        <v>3</v>
      </c>
      <c r="J55" s="16">
        <f>SUMIFS(Entradas!G:G,Entradas!E:E,Artículos[[#This Row],[Código]])</f>
        <v>0</v>
      </c>
      <c r="K55" s="16">
        <f>SUMIFS(Salidas!G:G,Salidas!E:E,Artículos[[#This Row],[Código]])</f>
        <v>0</v>
      </c>
      <c r="L55" s="16">
        <f>Artículos[[#This Row],[Existencias iniciales]]+Artículos[[#This Row],[Entradas]]-Artículos[[#This Row],[Salidas]]</f>
        <v>3</v>
      </c>
      <c r="M55" s="16"/>
      <c r="N55" s="16"/>
    </row>
    <row r="56" spans="1:14" hidden="1" x14ac:dyDescent="0.3">
      <c r="A56" s="29" t="s">
        <v>1216</v>
      </c>
      <c r="B56" s="15">
        <v>1</v>
      </c>
      <c r="C56" s="16" t="e">
        <f>IF([2]!Artículos4[[#This Row],[Proveedor (código)]]="","",VLOOKUP([2]!Artículos4[[#This Row],[Proveedor (código)]],[2]Proveedores!A:B,2,FALSE))</f>
        <v>#REF!</v>
      </c>
      <c r="D56" s="29" t="s">
        <v>146</v>
      </c>
      <c r="E56" s="29" t="s">
        <v>69</v>
      </c>
      <c r="F56" s="51"/>
      <c r="G56" s="14"/>
      <c r="H56" s="14"/>
      <c r="I56" s="14"/>
      <c r="J56" s="16">
        <f>SUMIFS(Entradas!G:G,Entradas!E:E,Artículos[[#This Row],[Código]])</f>
        <v>0</v>
      </c>
      <c r="K56" s="16">
        <f>SUMIFS(Salidas!G:G,Salidas!E:E,Artículos[[#This Row],[Código]])</f>
        <v>0</v>
      </c>
      <c r="L56" s="16">
        <f>Artículos[[#This Row],[Existencias iniciales]]+Artículos[[#This Row],[Entradas]]-Artículos[[#This Row],[Salidas]]</f>
        <v>0</v>
      </c>
      <c r="M56" s="16"/>
      <c r="N56" s="16"/>
    </row>
    <row r="57" spans="1:14" hidden="1" x14ac:dyDescent="0.3">
      <c r="A57" s="29" t="s">
        <v>1217</v>
      </c>
      <c r="B57" s="15">
        <v>1</v>
      </c>
      <c r="C57" s="16" t="e">
        <f>IF([2]!Artículos4[[#This Row],[Proveedor (código)]]="","",VLOOKUP([2]!Artículos4[[#This Row],[Proveedor (código)]],[2]Proveedores!A:B,2,FALSE))</f>
        <v>#REF!</v>
      </c>
      <c r="D57" s="29" t="s">
        <v>147</v>
      </c>
      <c r="E57" s="29" t="s">
        <v>69</v>
      </c>
      <c r="F57" s="51"/>
      <c r="G57" s="14"/>
      <c r="H57" s="14"/>
      <c r="I57" s="14"/>
      <c r="J57" s="16">
        <f>SUMIFS(Entradas!G:G,Entradas!E:E,Artículos[[#This Row],[Código]])</f>
        <v>0</v>
      </c>
      <c r="K57" s="16">
        <f>SUMIFS(Salidas!G:G,Salidas!E:E,Artículos[[#This Row],[Código]])</f>
        <v>0</v>
      </c>
      <c r="L57" s="16">
        <f>Artículos[[#This Row],[Existencias iniciales]]+Artículos[[#This Row],[Entradas]]-Artículos[[#This Row],[Salidas]]</f>
        <v>0</v>
      </c>
      <c r="M57" s="16"/>
      <c r="N57" s="16"/>
    </row>
    <row r="58" spans="1:14" hidden="1" x14ac:dyDescent="0.3">
      <c r="A58" s="29" t="s">
        <v>1218</v>
      </c>
      <c r="B58" s="15">
        <v>1</v>
      </c>
      <c r="C58" s="16" t="e">
        <f>IF([2]!Artículos4[[#This Row],[Proveedor (código)]]="","",VLOOKUP([2]!Artículos4[[#This Row],[Proveedor (código)]],[2]Proveedores!A:B,2,FALSE))</f>
        <v>#REF!</v>
      </c>
      <c r="D58" s="29" t="s">
        <v>148</v>
      </c>
      <c r="E58" s="29" t="s">
        <v>69</v>
      </c>
      <c r="F58" s="51"/>
      <c r="G58" s="14"/>
      <c r="H58" s="14"/>
      <c r="I58" s="14"/>
      <c r="J58" s="16">
        <f>SUMIFS(Entradas!G:G,Entradas!E:E,Artículos[[#This Row],[Código]])</f>
        <v>0</v>
      </c>
      <c r="K58" s="16">
        <f>SUMIFS(Salidas!G:G,Salidas!E:E,Artículos[[#This Row],[Código]])</f>
        <v>0</v>
      </c>
      <c r="L58" s="16">
        <f>Artículos[[#This Row],[Existencias iniciales]]+Artículos[[#This Row],[Entradas]]-Artículos[[#This Row],[Salidas]]</f>
        <v>0</v>
      </c>
      <c r="M58" s="16"/>
      <c r="N58" s="16"/>
    </row>
    <row r="59" spans="1:14" hidden="1" x14ac:dyDescent="0.3">
      <c r="A59" s="29" t="s">
        <v>1219</v>
      </c>
      <c r="B59" s="15"/>
      <c r="C59" s="16" t="e">
        <f>IF([2]!Artículos4[[#This Row],[Proveedor (código)]]="","",VLOOKUP([2]!Artículos4[[#This Row],[Proveedor (código)]],[2]Proveedores!A:B,2,FALSE))</f>
        <v>#REF!</v>
      </c>
      <c r="D59" s="29" t="s">
        <v>149</v>
      </c>
      <c r="E59" s="29" t="s">
        <v>69</v>
      </c>
      <c r="F59" s="51">
        <v>5.79</v>
      </c>
      <c r="G59" s="14"/>
      <c r="H59" s="14"/>
      <c r="I59" s="14">
        <v>3</v>
      </c>
      <c r="J59" s="16">
        <f>SUMIFS(Entradas!G:G,Entradas!E:E,Artículos[[#This Row],[Código]])</f>
        <v>9</v>
      </c>
      <c r="K59" s="16">
        <f>SUMIFS(Salidas!G:G,Salidas!E:E,Artículos[[#This Row],[Código]])</f>
        <v>3</v>
      </c>
      <c r="L59" s="16">
        <f>Artículos[[#This Row],[Existencias iniciales]]+Artículos[[#This Row],[Entradas]]-Artículos[[#This Row],[Salidas]]</f>
        <v>9</v>
      </c>
      <c r="M59" s="16"/>
      <c r="N59" s="16"/>
    </row>
    <row r="60" spans="1:14" hidden="1" x14ac:dyDescent="0.3">
      <c r="A60" s="29" t="s">
        <v>1220</v>
      </c>
      <c r="B60" s="15">
        <v>1</v>
      </c>
      <c r="C60" s="16" t="e">
        <f>IF([2]!Artículos4[[#This Row],[Proveedor (código)]]="","",VLOOKUP([2]!Artículos4[[#This Row],[Proveedor (código)]],[2]Proveedores!A:B,2,FALSE))</f>
        <v>#REF!</v>
      </c>
      <c r="D60" s="29" t="s">
        <v>150</v>
      </c>
      <c r="E60" s="29" t="s">
        <v>69</v>
      </c>
      <c r="F60" s="51"/>
      <c r="G60" s="14"/>
      <c r="H60" s="14"/>
      <c r="I60" s="14">
        <v>3</v>
      </c>
      <c r="J60" s="16">
        <f>SUMIFS(Entradas!G:G,Entradas!E:E,Artículos[[#This Row],[Código]])</f>
        <v>0</v>
      </c>
      <c r="K60" s="16">
        <f>SUMIFS(Salidas!G:G,Salidas!E:E,Artículos[[#This Row],[Código]])</f>
        <v>3</v>
      </c>
      <c r="L60" s="16">
        <f>Artículos[[#This Row],[Existencias iniciales]]+Artículos[[#This Row],[Entradas]]-Artículos[[#This Row],[Salidas]]</f>
        <v>0</v>
      </c>
      <c r="M60" s="16"/>
      <c r="N60" s="16"/>
    </row>
    <row r="61" spans="1:14" hidden="1" x14ac:dyDescent="0.3">
      <c r="A61" s="29" t="s">
        <v>1221</v>
      </c>
      <c r="B61" s="15">
        <v>1</v>
      </c>
      <c r="C61" s="16" t="e">
        <f>IF([2]!Artículos4[[#This Row],[Proveedor (código)]]="","",VLOOKUP([2]!Artículos4[[#This Row],[Proveedor (código)]],[2]Proveedores!A:B,2,FALSE))</f>
        <v>#REF!</v>
      </c>
      <c r="D61" s="29" t="s">
        <v>151</v>
      </c>
      <c r="E61" s="29" t="s">
        <v>69</v>
      </c>
      <c r="F61" s="51"/>
      <c r="G61" s="14"/>
      <c r="H61" s="14"/>
      <c r="I61" s="14">
        <v>1</v>
      </c>
      <c r="J61" s="16">
        <f>SUMIFS(Entradas!G:G,Entradas!E:E,Artículos[[#This Row],[Código]])</f>
        <v>0</v>
      </c>
      <c r="K61" s="16">
        <f>SUMIFS(Salidas!G:G,Salidas!E:E,Artículos[[#This Row],[Código]])</f>
        <v>0</v>
      </c>
      <c r="L61" s="16">
        <f>Artículos[[#This Row],[Existencias iniciales]]+Artículos[[#This Row],[Entradas]]-Artículos[[#This Row],[Salidas]]</f>
        <v>1</v>
      </c>
      <c r="M61" s="16"/>
      <c r="N61" s="16"/>
    </row>
    <row r="62" spans="1:14" hidden="1" x14ac:dyDescent="0.3">
      <c r="A62" s="29" t="s">
        <v>1222</v>
      </c>
      <c r="B62" s="15">
        <v>1</v>
      </c>
      <c r="C62" s="16" t="e">
        <f>IF([2]!Artículos4[[#This Row],[Proveedor (código)]]="","",VLOOKUP([2]!Artículos4[[#This Row],[Proveedor (código)]],[2]Proveedores!A:B,2,FALSE))</f>
        <v>#REF!</v>
      </c>
      <c r="D62" s="29" t="s">
        <v>152</v>
      </c>
      <c r="E62" s="29" t="s">
        <v>69</v>
      </c>
      <c r="F62" s="51"/>
      <c r="G62" s="14"/>
      <c r="H62" s="14"/>
      <c r="I62" s="14"/>
      <c r="J62" s="16">
        <f>SUMIFS(Entradas!G:G,Entradas!E:E,Artículos[[#This Row],[Código]])</f>
        <v>0</v>
      </c>
      <c r="K62" s="16">
        <f>SUMIFS(Salidas!G:G,Salidas!E:E,Artículos[[#This Row],[Código]])</f>
        <v>0</v>
      </c>
      <c r="L62" s="16">
        <f>Artículos[[#This Row],[Existencias iniciales]]+Artículos[[#This Row],[Entradas]]-Artículos[[#This Row],[Salidas]]</f>
        <v>0</v>
      </c>
      <c r="M62" s="16"/>
      <c r="N62" s="16"/>
    </row>
    <row r="63" spans="1:14" hidden="1" x14ac:dyDescent="0.3">
      <c r="A63" s="29" t="s">
        <v>1223</v>
      </c>
      <c r="B63" s="15">
        <v>1</v>
      </c>
      <c r="C63" s="16" t="e">
        <f>IF([2]!Artículos4[[#This Row],[Proveedor (código)]]="","",VLOOKUP([2]!Artículos4[[#This Row],[Proveedor (código)]],[2]Proveedores!A:B,2,FALSE))</f>
        <v>#REF!</v>
      </c>
      <c r="D63" s="29" t="s">
        <v>153</v>
      </c>
      <c r="E63" s="29" t="s">
        <v>69</v>
      </c>
      <c r="F63" s="51"/>
      <c r="G63" s="14"/>
      <c r="H63" s="14"/>
      <c r="I63" s="14"/>
      <c r="J63" s="16">
        <f>SUMIFS(Entradas!G:G,Entradas!E:E,Artículos[[#This Row],[Código]])</f>
        <v>1</v>
      </c>
      <c r="K63" s="16">
        <f>SUMIFS(Salidas!G:G,Salidas!E:E,Artículos[[#This Row],[Código]])</f>
        <v>0</v>
      </c>
      <c r="L63" s="16">
        <f>Artículos[[#This Row],[Existencias iniciales]]+Artículos[[#This Row],[Entradas]]-Artículos[[#This Row],[Salidas]]</f>
        <v>1</v>
      </c>
      <c r="M63" s="16"/>
      <c r="N63" s="16"/>
    </row>
    <row r="64" spans="1:14" hidden="1" x14ac:dyDescent="0.3">
      <c r="A64" s="29" t="s">
        <v>1224</v>
      </c>
      <c r="B64" s="15">
        <v>1</v>
      </c>
      <c r="C64" s="16" t="e">
        <f>IF([2]!Artículos4[[#This Row],[Proveedor (código)]]="","",VLOOKUP([2]!Artículos4[[#This Row],[Proveedor (código)]],[2]Proveedores!A:B,2,FALSE))</f>
        <v>#REF!</v>
      </c>
      <c r="D64" s="29" t="s">
        <v>154</v>
      </c>
      <c r="E64" s="29" t="s">
        <v>69</v>
      </c>
      <c r="F64" s="51"/>
      <c r="G64" s="14"/>
      <c r="H64" s="14"/>
      <c r="I64" s="14"/>
      <c r="J64" s="16">
        <f>SUMIFS(Entradas!G:G,Entradas!E:E,Artículos[[#This Row],[Código]])</f>
        <v>0</v>
      </c>
      <c r="K64" s="16">
        <f>SUMIFS(Salidas!G:G,Salidas!E:E,Artículos[[#This Row],[Código]])</f>
        <v>0</v>
      </c>
      <c r="L64" s="16">
        <f>Artículos[[#This Row],[Existencias iniciales]]+Artículos[[#This Row],[Entradas]]-Artículos[[#This Row],[Salidas]]</f>
        <v>0</v>
      </c>
      <c r="M64" s="16"/>
      <c r="N64" s="16"/>
    </row>
    <row r="65" spans="1:14" hidden="1" x14ac:dyDescent="0.3">
      <c r="A65" s="29" t="s">
        <v>1225</v>
      </c>
      <c r="B65" s="15">
        <v>1</v>
      </c>
      <c r="C65" s="16" t="e">
        <f>IF([2]!Artículos4[[#This Row],[Proveedor (código)]]="","",VLOOKUP([2]!Artículos4[[#This Row],[Proveedor (código)]],[2]Proveedores!A:B,2,FALSE))</f>
        <v>#REF!</v>
      </c>
      <c r="D65" s="29" t="s">
        <v>153</v>
      </c>
      <c r="E65" s="29" t="s">
        <v>69</v>
      </c>
      <c r="F65" s="51"/>
      <c r="G65" s="14"/>
      <c r="H65" s="14"/>
      <c r="I65" s="14">
        <v>45</v>
      </c>
      <c r="J65" s="16">
        <f>SUMIFS(Entradas!G:G,Entradas!E:E,Artículos[[#This Row],[Código]])</f>
        <v>0</v>
      </c>
      <c r="K65" s="16">
        <f>SUMIFS(Salidas!G:G,Salidas!E:E,Artículos[[#This Row],[Código]])</f>
        <v>0</v>
      </c>
      <c r="L65" s="16">
        <f>Artículos[[#This Row],[Existencias iniciales]]+Artículos[[#This Row],[Entradas]]-Artículos[[#This Row],[Salidas]]</f>
        <v>45</v>
      </c>
      <c r="M65" s="16"/>
      <c r="N65" s="16"/>
    </row>
    <row r="66" spans="1:14" hidden="1" x14ac:dyDescent="0.3">
      <c r="A66" s="29" t="s">
        <v>1226</v>
      </c>
      <c r="B66" s="15">
        <v>1</v>
      </c>
      <c r="C66" s="16" t="e">
        <f>IF([2]!Artículos4[[#This Row],[Proveedor (código)]]="","",VLOOKUP([2]!Artículos4[[#This Row],[Proveedor (código)]],[2]Proveedores!A:B,2,FALSE))</f>
        <v>#REF!</v>
      </c>
      <c r="D66" s="29" t="s">
        <v>155</v>
      </c>
      <c r="E66" s="29" t="s">
        <v>69</v>
      </c>
      <c r="F66" s="51">
        <v>8.2100000000000009</v>
      </c>
      <c r="G66" s="14"/>
      <c r="H66" s="14"/>
      <c r="I66" s="14">
        <v>4</v>
      </c>
      <c r="J66" s="16">
        <f>SUMIFS(Entradas!G:G,Entradas!E:E,Artículos[[#This Row],[Código]])</f>
        <v>7</v>
      </c>
      <c r="K66" s="16">
        <f>SUMIFS(Salidas!G:G,Salidas!E:E,Artículos[[#This Row],[Código]])</f>
        <v>14.75</v>
      </c>
      <c r="L66" s="16">
        <f>Artículos[[#This Row],[Existencias iniciales]]+Artículos[[#This Row],[Entradas]]-Artículos[[#This Row],[Salidas]]</f>
        <v>-3.75</v>
      </c>
      <c r="M66" s="16"/>
      <c r="N66" s="16"/>
    </row>
    <row r="67" spans="1:14" hidden="1" x14ac:dyDescent="0.3">
      <c r="A67" s="29" t="s">
        <v>1227</v>
      </c>
      <c r="B67" s="15">
        <v>1</v>
      </c>
      <c r="C67" s="16" t="e">
        <f>IF([2]!Artículos4[[#This Row],[Proveedor (código)]]="","",VLOOKUP([2]!Artículos4[[#This Row],[Proveedor (código)]],[2]Proveedores!A:B,2,FALSE))</f>
        <v>#REF!</v>
      </c>
      <c r="D67" s="29" t="s">
        <v>156</v>
      </c>
      <c r="E67" s="29" t="s">
        <v>69</v>
      </c>
      <c r="F67" s="51"/>
      <c r="G67" s="14"/>
      <c r="H67" s="14"/>
      <c r="I67" s="14">
        <v>1</v>
      </c>
      <c r="J67" s="16">
        <f>SUMIFS(Entradas!G:G,Entradas!E:E,Artículos[[#This Row],[Código]])</f>
        <v>0</v>
      </c>
      <c r="K67" s="16">
        <f>SUMIFS(Salidas!G:G,Salidas!E:E,Artículos[[#This Row],[Código]])</f>
        <v>12.5</v>
      </c>
      <c r="L67" s="16">
        <f>Artículos[[#This Row],[Existencias iniciales]]+Artículos[[#This Row],[Entradas]]-Artículos[[#This Row],[Salidas]]</f>
        <v>-11.5</v>
      </c>
      <c r="M67" s="16"/>
      <c r="N67" s="16"/>
    </row>
    <row r="68" spans="1:14" hidden="1" x14ac:dyDescent="0.3">
      <c r="A68" s="29" t="s">
        <v>1228</v>
      </c>
      <c r="B68" s="15"/>
      <c r="C68" s="16" t="e">
        <f>IF([2]!Artículos4[[#This Row],[Proveedor (código)]]="","",VLOOKUP([2]!Artículos4[[#This Row],[Proveedor (código)]],[2]Proveedores!A:B,2,FALSE))</f>
        <v>#REF!</v>
      </c>
      <c r="D68" s="29" t="s">
        <v>157</v>
      </c>
      <c r="E68" s="29" t="s">
        <v>69</v>
      </c>
      <c r="F68" s="51"/>
      <c r="G68" s="14"/>
      <c r="H68" s="14"/>
      <c r="I68" s="14">
        <v>2</v>
      </c>
      <c r="J68" s="16">
        <f>SUMIFS(Entradas!G:G,Entradas!E:E,Artículos[[#This Row],[Código]])</f>
        <v>0</v>
      </c>
      <c r="K68" s="16">
        <f>SUMIFS(Salidas!G:G,Salidas!E:E,Artículos[[#This Row],[Código]])</f>
        <v>0.5</v>
      </c>
      <c r="L68" s="16">
        <f>Artículos[[#This Row],[Existencias iniciales]]+Artículos[[#This Row],[Entradas]]-Artículos[[#This Row],[Salidas]]</f>
        <v>1.5</v>
      </c>
      <c r="M68" s="16"/>
      <c r="N68" s="16"/>
    </row>
    <row r="69" spans="1:14" hidden="1" x14ac:dyDescent="0.3">
      <c r="A69" s="29" t="s">
        <v>1229</v>
      </c>
      <c r="B69" s="15">
        <v>1</v>
      </c>
      <c r="C69" s="16" t="e">
        <f>IF([2]!Artículos4[[#This Row],[Proveedor (código)]]="","",VLOOKUP([2]!Artículos4[[#This Row],[Proveedor (código)]],[2]Proveedores!A:B,2,FALSE))</f>
        <v>#REF!</v>
      </c>
      <c r="D69" s="29" t="s">
        <v>158</v>
      </c>
      <c r="E69" s="29" t="s">
        <v>69</v>
      </c>
      <c r="F69" s="51"/>
      <c r="G69" s="14"/>
      <c r="H69" s="14"/>
      <c r="I69" s="14">
        <v>7</v>
      </c>
      <c r="J69" s="16">
        <f>SUMIFS(Entradas!G:G,Entradas!E:E,Artículos[[#This Row],[Código]])</f>
        <v>0</v>
      </c>
      <c r="K69" s="16">
        <f>SUMIFS(Salidas!G:G,Salidas!E:E,Artículos[[#This Row],[Código]])</f>
        <v>0</v>
      </c>
      <c r="L69" s="16">
        <f>Artículos[[#This Row],[Existencias iniciales]]+Artículos[[#This Row],[Entradas]]-Artículos[[#This Row],[Salidas]]</f>
        <v>7</v>
      </c>
      <c r="M69" s="16"/>
      <c r="N69" s="16"/>
    </row>
    <row r="70" spans="1:14" hidden="1" x14ac:dyDescent="0.3">
      <c r="A70" s="29" t="s">
        <v>1230</v>
      </c>
      <c r="B70" s="15"/>
      <c r="C70" s="16" t="e">
        <f>IF([2]!Artículos4[[#This Row],[Proveedor (código)]]="","",VLOOKUP([2]!Artículos4[[#This Row],[Proveedor (código)]],[2]Proveedores!A:B,2,FALSE))</f>
        <v>#REF!</v>
      </c>
      <c r="D70" s="29" t="s">
        <v>159</v>
      </c>
      <c r="E70" s="29" t="s">
        <v>69</v>
      </c>
      <c r="F70" s="51"/>
      <c r="G70" s="14"/>
      <c r="H70" s="14"/>
      <c r="I70" s="14"/>
      <c r="J70" s="16">
        <f>SUMIFS(Entradas!G:G,Entradas!E:E,Artículos[[#This Row],[Código]])</f>
        <v>0</v>
      </c>
      <c r="K70" s="16">
        <f>SUMIFS(Salidas!G:G,Salidas!E:E,Artículos[[#This Row],[Código]])</f>
        <v>0</v>
      </c>
      <c r="L70" s="16">
        <f>Artículos[[#This Row],[Existencias iniciales]]+Artículos[[#This Row],[Entradas]]-Artículos[[#This Row],[Salidas]]</f>
        <v>0</v>
      </c>
      <c r="M70" s="16"/>
      <c r="N70" s="16"/>
    </row>
    <row r="71" spans="1:14" hidden="1" x14ac:dyDescent="0.3">
      <c r="A71" s="29" t="s">
        <v>1231</v>
      </c>
      <c r="B71" s="15"/>
      <c r="C71" s="16" t="e">
        <f>IF([2]!Artículos4[[#This Row],[Proveedor (código)]]="","",VLOOKUP([2]!Artículos4[[#This Row],[Proveedor (código)]],[2]Proveedores!A:B,2,FALSE))</f>
        <v>#REF!</v>
      </c>
      <c r="D71" s="29" t="s">
        <v>160</v>
      </c>
      <c r="E71" s="29" t="s">
        <v>69</v>
      </c>
      <c r="F71" s="51"/>
      <c r="G71" s="14"/>
      <c r="H71" s="14"/>
      <c r="I71" s="14"/>
      <c r="J71" s="16">
        <f>SUMIFS(Entradas!G:G,Entradas!E:E,Artículos[[#This Row],[Código]])</f>
        <v>0</v>
      </c>
      <c r="K71" s="16">
        <f>SUMIFS(Salidas!G:G,Salidas!E:E,Artículos[[#This Row],[Código]])</f>
        <v>0</v>
      </c>
      <c r="L71" s="16">
        <f>Artículos[[#This Row],[Existencias iniciales]]+Artículos[[#This Row],[Entradas]]-Artículos[[#This Row],[Salidas]]</f>
        <v>0</v>
      </c>
      <c r="M71" s="16"/>
      <c r="N71" s="16"/>
    </row>
    <row r="72" spans="1:14" hidden="1" x14ac:dyDescent="0.3">
      <c r="A72" s="29" t="s">
        <v>1232</v>
      </c>
      <c r="B72" s="15"/>
      <c r="C72" s="16" t="e">
        <f>IF([2]!Artículos4[[#This Row],[Proveedor (código)]]="","",VLOOKUP([2]!Artículos4[[#This Row],[Proveedor (código)]],[2]Proveedores!A:B,2,FALSE))</f>
        <v>#REF!</v>
      </c>
      <c r="D72" s="29" t="s">
        <v>161</v>
      </c>
      <c r="E72" s="29" t="s">
        <v>69</v>
      </c>
      <c r="F72" s="51" t="s">
        <v>1387</v>
      </c>
      <c r="G72" s="14"/>
      <c r="H72" s="14"/>
      <c r="I72" s="14"/>
      <c r="J72" s="16">
        <f>SUMIFS(Entradas!G:G,Entradas!E:E,Artículos[[#This Row],[Código]])</f>
        <v>0</v>
      </c>
      <c r="K72" s="16">
        <f>SUMIFS(Salidas!G:G,Salidas!E:E,Artículos[[#This Row],[Código]])</f>
        <v>0</v>
      </c>
      <c r="L72" s="16">
        <f>Artículos[[#This Row],[Existencias iniciales]]+Artículos[[#This Row],[Entradas]]-Artículos[[#This Row],[Salidas]]</f>
        <v>0</v>
      </c>
      <c r="M72" s="16"/>
      <c r="N72" s="16"/>
    </row>
    <row r="73" spans="1:14" hidden="1" x14ac:dyDescent="0.3">
      <c r="A73" s="29" t="s">
        <v>1233</v>
      </c>
      <c r="B73" s="15"/>
      <c r="C73" s="16" t="e">
        <f>IF([2]!Artículos4[[#This Row],[Proveedor (código)]]="","",VLOOKUP([2]!Artículos4[[#This Row],[Proveedor (código)]],[2]Proveedores!A:B,2,FALSE))</f>
        <v>#REF!</v>
      </c>
      <c r="D73" s="29" t="s">
        <v>162</v>
      </c>
      <c r="E73" s="29" t="s">
        <v>69</v>
      </c>
      <c r="F73" s="51"/>
      <c r="G73" s="14"/>
      <c r="H73" s="14"/>
      <c r="I73" s="14"/>
      <c r="J73" s="16">
        <f>SUMIFS(Entradas!G:G,Entradas!E:E,Artículos[[#This Row],[Código]])</f>
        <v>1</v>
      </c>
      <c r="K73" s="16">
        <f>SUMIFS(Salidas!G:G,Salidas!E:E,Artículos[[#This Row],[Código]])</f>
        <v>0</v>
      </c>
      <c r="L73" s="16">
        <f>Artículos[[#This Row],[Existencias iniciales]]+Artículos[[#This Row],[Entradas]]-Artículos[[#This Row],[Salidas]]</f>
        <v>1</v>
      </c>
      <c r="M73" s="16"/>
      <c r="N73" s="16"/>
    </row>
    <row r="74" spans="1:14" hidden="1" x14ac:dyDescent="0.3">
      <c r="A74" s="29" t="s">
        <v>1234</v>
      </c>
      <c r="B74" s="15"/>
      <c r="C74" s="16" t="e">
        <f>IF([2]!Artículos4[[#This Row],[Proveedor (código)]]="","",VLOOKUP([2]!Artículos4[[#This Row],[Proveedor (código)]],[2]Proveedores!A:B,2,FALSE))</f>
        <v>#REF!</v>
      </c>
      <c r="D74" s="29" t="s">
        <v>163</v>
      </c>
      <c r="E74" s="29" t="s">
        <v>69</v>
      </c>
      <c r="F74" s="51"/>
      <c r="G74" s="14"/>
      <c r="H74" s="14"/>
      <c r="I74" s="14"/>
      <c r="J74" s="16">
        <f>SUMIFS(Entradas!G:G,Entradas!E:E,Artículos[[#This Row],[Código]])</f>
        <v>0</v>
      </c>
      <c r="K74" s="16">
        <f>SUMIFS(Salidas!G:G,Salidas!E:E,Artículos[[#This Row],[Código]])</f>
        <v>0</v>
      </c>
      <c r="L74" s="16">
        <f>Artículos[[#This Row],[Existencias iniciales]]+Artículos[[#This Row],[Entradas]]-Artículos[[#This Row],[Salidas]]</f>
        <v>0</v>
      </c>
      <c r="M74" s="16"/>
      <c r="N74" s="16"/>
    </row>
    <row r="75" spans="1:14" hidden="1" x14ac:dyDescent="0.3">
      <c r="A75" s="29" t="s">
        <v>1235</v>
      </c>
      <c r="B75" s="15"/>
      <c r="C75" s="16" t="e">
        <f>IF([2]!Artículos4[[#This Row],[Proveedor (código)]]="","",VLOOKUP([2]!Artículos4[[#This Row],[Proveedor (código)]],[2]Proveedores!A:B,2,FALSE))</f>
        <v>#REF!</v>
      </c>
      <c r="D75" s="29" t="s">
        <v>164</v>
      </c>
      <c r="E75" s="29" t="s">
        <v>69</v>
      </c>
      <c r="F75" s="51"/>
      <c r="G75" s="14"/>
      <c r="H75" s="14"/>
      <c r="I75" s="14">
        <v>3</v>
      </c>
      <c r="J75" s="16">
        <f>SUMIFS(Entradas!G:G,Entradas!E:E,Artículos[[#This Row],[Código]])</f>
        <v>0</v>
      </c>
      <c r="K75" s="16">
        <f>SUMIFS(Salidas!G:G,Salidas!E:E,Artículos[[#This Row],[Código]])</f>
        <v>0</v>
      </c>
      <c r="L75" s="16">
        <f>Artículos[[#This Row],[Existencias iniciales]]+Artículos[[#This Row],[Entradas]]-Artículos[[#This Row],[Salidas]]</f>
        <v>3</v>
      </c>
      <c r="M75" s="16"/>
      <c r="N75" s="16"/>
    </row>
    <row r="76" spans="1:14" hidden="1" x14ac:dyDescent="0.3">
      <c r="A76" s="29" t="s">
        <v>1236</v>
      </c>
      <c r="B76" s="15">
        <v>1</v>
      </c>
      <c r="C76" s="16" t="e">
        <f>IF([2]!Artículos4[[#This Row],[Proveedor (código)]]="","",VLOOKUP([2]!Artículos4[[#This Row],[Proveedor (código)]],[2]Proveedores!A:B,2,FALSE))</f>
        <v>#REF!</v>
      </c>
      <c r="D76" s="29" t="s">
        <v>165</v>
      </c>
      <c r="E76" s="29" t="s">
        <v>69</v>
      </c>
      <c r="F76" s="51"/>
      <c r="G76" s="14"/>
      <c r="H76" s="14"/>
      <c r="I76" s="14"/>
      <c r="J76" s="16">
        <f>SUMIFS(Entradas!G:G,Entradas!E:E,Artículos[[#This Row],[Código]])</f>
        <v>0</v>
      </c>
      <c r="K76" s="16">
        <f>SUMIFS(Salidas!G:G,Salidas!E:E,Artículos[[#This Row],[Código]])</f>
        <v>0</v>
      </c>
      <c r="L76" s="16">
        <f>Artículos[[#This Row],[Existencias iniciales]]+Artículos[[#This Row],[Entradas]]-Artículos[[#This Row],[Salidas]]</f>
        <v>0</v>
      </c>
      <c r="M76" s="16"/>
      <c r="N76" s="16"/>
    </row>
    <row r="77" spans="1:14" ht="14.4" hidden="1" customHeight="1" x14ac:dyDescent="0.3">
      <c r="A77" s="29" t="s">
        <v>1237</v>
      </c>
      <c r="B77" s="15">
        <v>1</v>
      </c>
      <c r="C77" s="16" t="e">
        <f>IF([2]!Artículos4[[#This Row],[Proveedor (código)]]="","",VLOOKUP([2]!Artículos4[[#This Row],[Proveedor (código)]],[2]Proveedores!A:B,2,FALSE))</f>
        <v>#REF!</v>
      </c>
      <c r="D77" s="29" t="s">
        <v>166</v>
      </c>
      <c r="E77" s="29" t="s">
        <v>69</v>
      </c>
      <c r="F77" s="51">
        <v>10.38</v>
      </c>
      <c r="G77" s="14"/>
      <c r="H77" s="14"/>
      <c r="I77" s="14">
        <v>11</v>
      </c>
      <c r="J77" s="16">
        <f>SUMIFS(Entradas!G:G,Entradas!E:E,Artículos[[#This Row],[Código]])</f>
        <v>3</v>
      </c>
      <c r="K77" s="16">
        <f>SUMIFS(Salidas!G:G,Salidas!E:E,Artículos[[#This Row],[Código]])</f>
        <v>0</v>
      </c>
      <c r="L77" s="16">
        <f>Artículos[[#This Row],[Existencias iniciales]]+Artículos[[#This Row],[Entradas]]-Artículos[[#This Row],[Salidas]]</f>
        <v>14</v>
      </c>
      <c r="M77" s="16" t="s">
        <v>80</v>
      </c>
      <c r="N77" s="16"/>
    </row>
    <row r="78" spans="1:14" ht="14.4" hidden="1" customHeight="1" x14ac:dyDescent="0.3">
      <c r="A78" s="29" t="s">
        <v>1238</v>
      </c>
      <c r="B78" s="15">
        <v>1</v>
      </c>
      <c r="C78" s="16" t="e">
        <f>IF([2]!Artículos4[[#This Row],[Proveedor (código)]]="","",VLOOKUP([2]!Artículos4[[#This Row],[Proveedor (código)]],[2]Proveedores!A:B,2,FALSE))</f>
        <v>#REF!</v>
      </c>
      <c r="D78" s="29" t="s">
        <v>167</v>
      </c>
      <c r="E78" s="29" t="s">
        <v>69</v>
      </c>
      <c r="F78" s="51"/>
      <c r="G78" s="14"/>
      <c r="H78" s="14"/>
      <c r="I78" s="14">
        <v>7</v>
      </c>
      <c r="J78" s="16">
        <f>SUMIFS(Entradas!G:G,Entradas!E:E,Artículos[[#This Row],[Código]])</f>
        <v>0</v>
      </c>
      <c r="K78" s="16">
        <f>SUMIFS(Salidas!G:G,Salidas!E:E,Artículos[[#This Row],[Código]])</f>
        <v>0</v>
      </c>
      <c r="L78" s="16">
        <f>Artículos[[#This Row],[Existencias iniciales]]+Artículos[[#This Row],[Entradas]]-Artículos[[#This Row],[Salidas]]</f>
        <v>7</v>
      </c>
      <c r="M78" s="16" t="s">
        <v>80</v>
      </c>
      <c r="N78" s="16"/>
    </row>
    <row r="79" spans="1:14" ht="14.4" hidden="1" customHeight="1" x14ac:dyDescent="0.3">
      <c r="A79" s="29" t="s">
        <v>1239</v>
      </c>
      <c r="B79" s="15">
        <v>1</v>
      </c>
      <c r="C79" s="16" t="e">
        <f>IF([2]!Artículos4[[#This Row],[Proveedor (código)]]="","",VLOOKUP([2]!Artículos4[[#This Row],[Proveedor (código)]],[2]Proveedores!A:B,2,FALSE))</f>
        <v>#REF!</v>
      </c>
      <c r="D79" s="29" t="s">
        <v>168</v>
      </c>
      <c r="E79" s="29" t="s">
        <v>69</v>
      </c>
      <c r="F79" s="51"/>
      <c r="G79" s="14"/>
      <c r="H79" s="14"/>
      <c r="I79" s="14"/>
      <c r="J79" s="16">
        <f>SUMIFS(Entradas!G:G,Entradas!E:E,Artículos[[#This Row],[Código]])</f>
        <v>0</v>
      </c>
      <c r="K79" s="16">
        <f>SUMIFS(Salidas!G:G,Salidas!E:E,Artículos[[#This Row],[Código]])</f>
        <v>0</v>
      </c>
      <c r="L79" s="16">
        <f>Artículos[[#This Row],[Existencias iniciales]]+Artículos[[#This Row],[Entradas]]-Artículos[[#This Row],[Salidas]]</f>
        <v>0</v>
      </c>
      <c r="M79" s="16" t="s">
        <v>69</v>
      </c>
      <c r="N79" s="16"/>
    </row>
    <row r="80" spans="1:14" ht="14.4" hidden="1" customHeight="1" x14ac:dyDescent="0.3">
      <c r="A80" s="29" t="s">
        <v>1240</v>
      </c>
      <c r="B80" s="15">
        <v>1</v>
      </c>
      <c r="C80" s="16" t="e">
        <f>IF([2]!Artículos4[[#This Row],[Proveedor (código)]]="","",VLOOKUP([2]!Artículos4[[#This Row],[Proveedor (código)]],[2]Proveedores!A:B,2,FALSE))</f>
        <v>#REF!</v>
      </c>
      <c r="D80" s="29" t="s">
        <v>169</v>
      </c>
      <c r="E80" s="29" t="s">
        <v>69</v>
      </c>
      <c r="F80" s="51"/>
      <c r="G80" s="14"/>
      <c r="H80" s="14"/>
      <c r="I80" s="14"/>
      <c r="J80" s="16">
        <f>SUMIFS(Entradas!G:G,Entradas!E:E,Artículos[[#This Row],[Código]])</f>
        <v>0</v>
      </c>
      <c r="K80" s="16">
        <f>SUMIFS(Salidas!G:G,Salidas!E:E,Artículos[[#This Row],[Código]])</f>
        <v>0</v>
      </c>
      <c r="L80" s="16">
        <f>Artículos[[#This Row],[Existencias iniciales]]+Artículos[[#This Row],[Entradas]]-Artículos[[#This Row],[Salidas]]</f>
        <v>0</v>
      </c>
      <c r="M80" s="16" t="s">
        <v>69</v>
      </c>
      <c r="N80" s="16"/>
    </row>
    <row r="81" spans="1:14" ht="14.4" hidden="1" customHeight="1" x14ac:dyDescent="0.3">
      <c r="A81" s="29" t="s">
        <v>1241</v>
      </c>
      <c r="B81" s="15">
        <v>1</v>
      </c>
      <c r="C81" s="16" t="e">
        <f>IF([2]!Artículos4[[#This Row],[Proveedor (código)]]="","",VLOOKUP([2]!Artículos4[[#This Row],[Proveedor (código)]],[2]Proveedores!A:B,2,FALSE))</f>
        <v>#REF!</v>
      </c>
      <c r="D81" s="29" t="s">
        <v>170</v>
      </c>
      <c r="E81" s="29" t="s">
        <v>69</v>
      </c>
      <c r="F81" s="51"/>
      <c r="G81" s="14"/>
      <c r="H81" s="14"/>
      <c r="I81" s="14">
        <v>5</v>
      </c>
      <c r="J81" s="16">
        <f>SUMIFS(Entradas!G:G,Entradas!E:E,Artículos[[#This Row],[Código]])</f>
        <v>0</v>
      </c>
      <c r="K81" s="16">
        <f>SUMIFS(Salidas!G:G,Salidas!E:E,Artículos[[#This Row],[Código]])</f>
        <v>0</v>
      </c>
      <c r="L81" s="16">
        <f>Artículos[[#This Row],[Existencias iniciales]]+Artículos[[#This Row],[Entradas]]-Artículos[[#This Row],[Salidas]]</f>
        <v>5</v>
      </c>
      <c r="M81" s="16" t="s">
        <v>69</v>
      </c>
      <c r="N81" s="16"/>
    </row>
    <row r="82" spans="1:14" ht="14.4" hidden="1" customHeight="1" x14ac:dyDescent="0.3">
      <c r="A82" s="29" t="s">
        <v>1242</v>
      </c>
      <c r="B82" s="15">
        <v>1</v>
      </c>
      <c r="C82" s="16" t="e">
        <f>IF([2]!Artículos4[[#This Row],[Proveedor (código)]]="","",VLOOKUP([2]!Artículos4[[#This Row],[Proveedor (código)]],[2]Proveedores!A:B,2,FALSE))</f>
        <v>#REF!</v>
      </c>
      <c r="D82" s="29" t="s">
        <v>171</v>
      </c>
      <c r="E82" s="29" t="s">
        <v>69</v>
      </c>
      <c r="F82" s="51"/>
      <c r="G82" s="14"/>
      <c r="H82" s="14"/>
      <c r="I82" s="14">
        <v>11</v>
      </c>
      <c r="J82" s="16">
        <f>SUMIFS(Entradas!G:G,Entradas!E:E,Artículos[[#This Row],[Código]])</f>
        <v>0</v>
      </c>
      <c r="K82" s="16">
        <f>SUMIFS(Salidas!G:G,Salidas!E:E,Artículos[[#This Row],[Código]])</f>
        <v>3</v>
      </c>
      <c r="L82" s="16">
        <f>Artículos[[#This Row],[Existencias iniciales]]+Artículos[[#This Row],[Entradas]]-Artículos[[#This Row],[Salidas]]</f>
        <v>8</v>
      </c>
      <c r="M82" s="16" t="s">
        <v>69</v>
      </c>
      <c r="N82" s="16"/>
    </row>
    <row r="83" spans="1:14" ht="14.4" hidden="1" customHeight="1" x14ac:dyDescent="0.3">
      <c r="A83" s="29" t="s">
        <v>1243</v>
      </c>
      <c r="B83" s="15">
        <v>1</v>
      </c>
      <c r="C83" s="16" t="e">
        <f>IF([2]!Artículos4[[#This Row],[Proveedor (código)]]="","",VLOOKUP([2]!Artículos4[[#This Row],[Proveedor (código)]],[2]Proveedores!A:B,2,FALSE))</f>
        <v>#REF!</v>
      </c>
      <c r="D83" s="29" t="s">
        <v>172</v>
      </c>
      <c r="E83" s="29" t="s">
        <v>69</v>
      </c>
      <c r="F83" s="51"/>
      <c r="G83" s="14"/>
      <c r="H83" s="14"/>
      <c r="I83" s="14">
        <v>1</v>
      </c>
      <c r="J83" s="16">
        <f>SUMIFS(Entradas!G:G,Entradas!E:E,Artículos[[#This Row],[Código]])</f>
        <v>0</v>
      </c>
      <c r="K83" s="16">
        <f>SUMIFS(Salidas!G:G,Salidas!E:E,Artículos[[#This Row],[Código]])</f>
        <v>0</v>
      </c>
      <c r="L83" s="16">
        <f>Artículos[[#This Row],[Existencias iniciales]]+Artículos[[#This Row],[Entradas]]-Artículos[[#This Row],[Salidas]]</f>
        <v>1</v>
      </c>
      <c r="M83" s="16" t="s">
        <v>69</v>
      </c>
      <c r="N83" s="16"/>
    </row>
    <row r="84" spans="1:14" ht="14.4" hidden="1" customHeight="1" x14ac:dyDescent="0.3">
      <c r="A84" s="29" t="s">
        <v>1244</v>
      </c>
      <c r="B84" s="15">
        <v>1</v>
      </c>
      <c r="C84" s="16" t="e">
        <f>IF([2]!Artículos4[[#This Row],[Proveedor (código)]]="","",VLOOKUP([2]!Artículos4[[#This Row],[Proveedor (código)]],[2]Proveedores!A:B,2,FALSE))</f>
        <v>#REF!</v>
      </c>
      <c r="D84" s="29" t="s">
        <v>173</v>
      </c>
      <c r="E84" s="29" t="s">
        <v>69</v>
      </c>
      <c r="F84" s="51"/>
      <c r="G84" s="14"/>
      <c r="H84" s="14"/>
      <c r="I84" s="14">
        <v>1</v>
      </c>
      <c r="J84" s="16">
        <f>SUMIFS(Entradas!G:G,Entradas!E:E,Artículos[[#This Row],[Código]])</f>
        <v>0</v>
      </c>
      <c r="K84" s="16">
        <f>SUMIFS(Salidas!G:G,Salidas!E:E,Artículos[[#This Row],[Código]])</f>
        <v>0</v>
      </c>
      <c r="L84" s="16">
        <f>Artículos[[#This Row],[Existencias iniciales]]+Artículos[[#This Row],[Entradas]]-Artículos[[#This Row],[Salidas]]</f>
        <v>1</v>
      </c>
      <c r="M84" s="16" t="s">
        <v>69</v>
      </c>
      <c r="N84" s="16"/>
    </row>
    <row r="85" spans="1:14" ht="14.4" hidden="1" customHeight="1" x14ac:dyDescent="0.3">
      <c r="A85" s="29" t="s">
        <v>1245</v>
      </c>
      <c r="B85" s="15">
        <v>1</v>
      </c>
      <c r="C85" s="16" t="e">
        <f>IF([2]!Artículos4[[#This Row],[Proveedor (código)]]="","",VLOOKUP([2]!Artículos4[[#This Row],[Proveedor (código)]],[2]Proveedores!A:B,2,FALSE))</f>
        <v>#REF!</v>
      </c>
      <c r="D85" s="29" t="s">
        <v>174</v>
      </c>
      <c r="E85" s="29" t="s">
        <v>69</v>
      </c>
      <c r="F85" s="51"/>
      <c r="G85" s="14"/>
      <c r="H85" s="14"/>
      <c r="I85" s="14"/>
      <c r="J85" s="16">
        <f>SUMIFS(Entradas!G:G,Entradas!E:E,Artículos[[#This Row],[Código]])</f>
        <v>0</v>
      </c>
      <c r="K85" s="16">
        <f>SUMIFS(Salidas!G:G,Salidas!E:E,Artículos[[#This Row],[Código]])</f>
        <v>0</v>
      </c>
      <c r="L85" s="16">
        <f>Artículos[[#This Row],[Existencias iniciales]]+Artículos[[#This Row],[Entradas]]-Artículos[[#This Row],[Salidas]]</f>
        <v>0</v>
      </c>
      <c r="M85" s="16" t="s">
        <v>69</v>
      </c>
      <c r="N85" s="16"/>
    </row>
    <row r="86" spans="1:14" ht="14.4" hidden="1" customHeight="1" x14ac:dyDescent="0.3">
      <c r="A86" s="29" t="s">
        <v>1246</v>
      </c>
      <c r="B86" s="15">
        <v>1</v>
      </c>
      <c r="C86" s="16" t="e">
        <f>IF([2]!Artículos4[[#This Row],[Proveedor (código)]]="","",VLOOKUP([2]!Artículos4[[#This Row],[Proveedor (código)]],[2]Proveedores!A:B,2,FALSE))</f>
        <v>#REF!</v>
      </c>
      <c r="D86" s="29" t="s">
        <v>175</v>
      </c>
      <c r="E86" s="29" t="s">
        <v>69</v>
      </c>
      <c r="F86" s="51"/>
      <c r="G86" s="14"/>
      <c r="H86" s="14"/>
      <c r="I86" s="14">
        <v>26</v>
      </c>
      <c r="J86" s="16">
        <f>SUMIFS(Entradas!G:G,Entradas!E:E,Artículos[[#This Row],[Código]])</f>
        <v>3</v>
      </c>
      <c r="K86" s="16">
        <f>SUMIFS(Salidas!G:G,Salidas!E:E,Artículos[[#This Row],[Código]])</f>
        <v>19</v>
      </c>
      <c r="L86" s="16">
        <f>Artículos[[#This Row],[Existencias iniciales]]+Artículos[[#This Row],[Entradas]]-Artículos[[#This Row],[Salidas]]</f>
        <v>10</v>
      </c>
      <c r="M86" s="16" t="s">
        <v>69</v>
      </c>
      <c r="N86" s="16"/>
    </row>
    <row r="87" spans="1:14" ht="14.4" hidden="1" customHeight="1" x14ac:dyDescent="0.3">
      <c r="A87" s="29" t="s">
        <v>1247</v>
      </c>
      <c r="B87" s="15">
        <v>1</v>
      </c>
      <c r="C87" s="16" t="e">
        <f>IF([2]!Artículos4[[#This Row],[Proveedor (código)]]="","",VLOOKUP([2]!Artículos4[[#This Row],[Proveedor (código)]],[2]Proveedores!A:B,2,FALSE))</f>
        <v>#REF!</v>
      </c>
      <c r="D87" s="29" t="s">
        <v>176</v>
      </c>
      <c r="E87" s="29" t="s">
        <v>69</v>
      </c>
      <c r="F87" s="51"/>
      <c r="G87" s="14"/>
      <c r="H87" s="14"/>
      <c r="I87" s="14"/>
      <c r="J87" s="16">
        <f>SUMIFS(Entradas!G:G,Entradas!E:E,Artículos[[#This Row],[Código]])</f>
        <v>0</v>
      </c>
      <c r="K87" s="16">
        <f>SUMIFS(Salidas!G:G,Salidas!E:E,Artículos[[#This Row],[Código]])</f>
        <v>3</v>
      </c>
      <c r="L87" s="16">
        <f>Artículos[[#This Row],[Existencias iniciales]]+Artículos[[#This Row],[Entradas]]-Artículos[[#This Row],[Salidas]]</f>
        <v>-3</v>
      </c>
      <c r="M87" s="16" t="s">
        <v>69</v>
      </c>
      <c r="N87" s="16"/>
    </row>
    <row r="88" spans="1:14" ht="14.4" hidden="1" customHeight="1" x14ac:dyDescent="0.3">
      <c r="A88" s="29" t="s">
        <v>1248</v>
      </c>
      <c r="B88" s="15">
        <v>1</v>
      </c>
      <c r="C88" s="16" t="e">
        <f>IF([2]!Artículos4[[#This Row],[Proveedor (código)]]="","",VLOOKUP([2]!Artículos4[[#This Row],[Proveedor (código)]],[2]Proveedores!A:B,2,FALSE))</f>
        <v>#REF!</v>
      </c>
      <c r="D88" s="29" t="s">
        <v>177</v>
      </c>
      <c r="E88" s="29" t="s">
        <v>69</v>
      </c>
      <c r="F88" s="51"/>
      <c r="G88" s="14"/>
      <c r="H88" s="14"/>
      <c r="I88" s="14">
        <v>2</v>
      </c>
      <c r="J88" s="16">
        <f>SUMIFS(Entradas!G:G,Entradas!E:E,Artículos[[#This Row],[Código]])</f>
        <v>0</v>
      </c>
      <c r="K88" s="16">
        <f>SUMIFS(Salidas!G:G,Salidas!E:E,Artículos[[#This Row],[Código]])</f>
        <v>0</v>
      </c>
      <c r="L88" s="16">
        <f>Artículos[[#This Row],[Existencias iniciales]]+Artículos[[#This Row],[Entradas]]-Artículos[[#This Row],[Salidas]]</f>
        <v>2</v>
      </c>
      <c r="M88" s="16" t="s">
        <v>81</v>
      </c>
      <c r="N88" s="16"/>
    </row>
    <row r="89" spans="1:14" ht="14.4" hidden="1" customHeight="1" x14ac:dyDescent="0.3">
      <c r="A89" s="29" t="s">
        <v>1249</v>
      </c>
      <c r="B89" s="15">
        <v>1</v>
      </c>
      <c r="C89" s="16" t="e">
        <f>IF([2]!Artículos4[[#This Row],[Proveedor (código)]]="","",VLOOKUP([2]!Artículos4[[#This Row],[Proveedor (código)]],[2]Proveedores!A:B,2,FALSE))</f>
        <v>#REF!</v>
      </c>
      <c r="D89" s="29" t="s">
        <v>178</v>
      </c>
      <c r="E89" s="29" t="s">
        <v>69</v>
      </c>
      <c r="F89" s="51"/>
      <c r="G89" s="14"/>
      <c r="H89" s="14"/>
      <c r="I89" s="14">
        <v>1</v>
      </c>
      <c r="J89" s="16">
        <f>SUMIFS(Entradas!G:G,Entradas!E:E,Artículos[[#This Row],[Código]])</f>
        <v>0</v>
      </c>
      <c r="K89" s="16">
        <f>SUMIFS(Salidas!G:G,Salidas!E:E,Artículos[[#This Row],[Código]])</f>
        <v>0</v>
      </c>
      <c r="L89" s="16">
        <f>Artículos[[#This Row],[Existencias iniciales]]+Artículos[[#This Row],[Entradas]]-Artículos[[#This Row],[Salidas]]</f>
        <v>1</v>
      </c>
      <c r="M89" s="16" t="s">
        <v>82</v>
      </c>
      <c r="N89" s="16"/>
    </row>
    <row r="90" spans="1:14" ht="14.4" hidden="1" customHeight="1" x14ac:dyDescent="0.3">
      <c r="A90" s="29" t="s">
        <v>1250</v>
      </c>
      <c r="B90" s="15"/>
      <c r="C90" s="16" t="e">
        <f>IF([2]!Artículos4[[#This Row],[Proveedor (código)]]="","",VLOOKUP([2]!Artículos4[[#This Row],[Proveedor (código)]],[2]Proveedores!A:B,2,FALSE))</f>
        <v>#REF!</v>
      </c>
      <c r="D90" s="29"/>
      <c r="E90" s="29" t="s">
        <v>69</v>
      </c>
      <c r="F90" s="51"/>
      <c r="G90" s="14"/>
      <c r="H90" s="14"/>
      <c r="I90" s="38"/>
      <c r="J90" s="16">
        <f>SUMIFS(Entradas!G:G,Entradas!E:E,Artículos[[#This Row],[Código]])</f>
        <v>0</v>
      </c>
      <c r="K90" s="16">
        <f>SUMIFS(Salidas!G:G,Salidas!E:E,Artículos[[#This Row],[Código]])</f>
        <v>0</v>
      </c>
      <c r="L90" s="16">
        <f>Artículos[[#This Row],[Existencias iniciales]]+Artículos[[#This Row],[Entradas]]-Artículos[[#This Row],[Salidas]]</f>
        <v>0</v>
      </c>
      <c r="M90" s="16" t="s">
        <v>82</v>
      </c>
      <c r="N90" s="16"/>
    </row>
    <row r="91" spans="1:14" ht="14.4" hidden="1" customHeight="1" x14ac:dyDescent="0.3">
      <c r="A91" s="29" t="s">
        <v>694</v>
      </c>
      <c r="B91" s="15">
        <v>1</v>
      </c>
      <c r="C91" s="16" t="e">
        <f>IF([2]!Artículos4[[#This Row],[Proveedor (código)]]="","",VLOOKUP([2]!Artículos4[[#This Row],[Proveedor (código)]],[2]Proveedores!A:B,2,FALSE))</f>
        <v>#REF!</v>
      </c>
      <c r="D91" s="29" t="s">
        <v>179</v>
      </c>
      <c r="E91" s="29" t="s">
        <v>48</v>
      </c>
      <c r="F91" s="51">
        <v>4.76</v>
      </c>
      <c r="G91" s="14"/>
      <c r="H91" s="14"/>
      <c r="I91" s="14">
        <v>97</v>
      </c>
      <c r="J91" s="16">
        <f>SUMIFS(Entradas!G:G,Entradas!E:E,Artículos[[#This Row],[Código]])</f>
        <v>5</v>
      </c>
      <c r="K91" s="16">
        <f>SUMIFS(Salidas!G:G,Salidas!E:E,Artículos[[#This Row],[Código]])</f>
        <v>46</v>
      </c>
      <c r="L91" s="16">
        <f>Artículos[[#This Row],[Existencias iniciales]]+Artículos[[#This Row],[Entradas]]-Artículos[[#This Row],[Salidas]]</f>
        <v>56</v>
      </c>
      <c r="M91" s="16" t="s">
        <v>82</v>
      </c>
      <c r="N91" s="16"/>
    </row>
    <row r="92" spans="1:14" ht="14.4" hidden="1" customHeight="1" x14ac:dyDescent="0.3">
      <c r="A92" s="29" t="s">
        <v>696</v>
      </c>
      <c r="B92" s="15">
        <v>1</v>
      </c>
      <c r="C92" s="16" t="e">
        <f>IF([2]!Artículos4[[#This Row],[Proveedor (código)]]="","",VLOOKUP([2]!Artículos4[[#This Row],[Proveedor (código)]],[2]Proveedores!A:B,2,FALSE))</f>
        <v>#REF!</v>
      </c>
      <c r="D92" s="29" t="s">
        <v>180</v>
      </c>
      <c r="E92" s="29" t="s">
        <v>48</v>
      </c>
      <c r="F92" s="51"/>
      <c r="G92" s="14"/>
      <c r="H92" s="14"/>
      <c r="I92" s="38">
        <v>1</v>
      </c>
      <c r="J92" s="16">
        <f>SUMIFS(Entradas!G:G,Entradas!E:E,Artículos[[#This Row],[Código]])</f>
        <v>0</v>
      </c>
      <c r="K92" s="16">
        <f>SUMIFS(Salidas!G:G,Salidas!E:E,Artículos[[#This Row],[Código]])</f>
        <v>0</v>
      </c>
      <c r="L92" s="16">
        <f>Artículos[[#This Row],[Existencias iniciales]]+Artículos[[#This Row],[Entradas]]-Artículos[[#This Row],[Salidas]]</f>
        <v>1</v>
      </c>
      <c r="M92" s="16" t="s">
        <v>83</v>
      </c>
      <c r="N92" s="16"/>
    </row>
    <row r="93" spans="1:14" ht="14.4" hidden="1" customHeight="1" x14ac:dyDescent="0.3">
      <c r="A93" s="29" t="s">
        <v>695</v>
      </c>
      <c r="B93" s="15">
        <v>1</v>
      </c>
      <c r="C93" s="16" t="e">
        <f>IF([2]!Artículos4[[#This Row],[Proveedor (código)]]="","",VLOOKUP([2]!Artículos4[[#This Row],[Proveedor (código)]],[2]Proveedores!A:B,2,FALSE))</f>
        <v>#REF!</v>
      </c>
      <c r="D93" s="29" t="s">
        <v>181</v>
      </c>
      <c r="E93" s="29" t="s">
        <v>48</v>
      </c>
      <c r="F93" s="51"/>
      <c r="G93" s="14"/>
      <c r="H93" s="14"/>
      <c r="I93" s="14">
        <v>7</v>
      </c>
      <c r="J93" s="16">
        <f>SUMIFS(Entradas!G:G,Entradas!E:E,Artículos[[#This Row],[Código]])</f>
        <v>0</v>
      </c>
      <c r="K93" s="16">
        <f>SUMIFS(Salidas!G:G,Salidas!E:E,Artículos[[#This Row],[Código]])</f>
        <v>0</v>
      </c>
      <c r="L93" s="16">
        <f>Artículos[[#This Row],[Existencias iniciales]]+Artículos[[#This Row],[Entradas]]-Artículos[[#This Row],[Salidas]]</f>
        <v>7</v>
      </c>
      <c r="M93" s="16" t="s">
        <v>83</v>
      </c>
      <c r="N93" s="16"/>
    </row>
    <row r="94" spans="1:14" ht="14.4" hidden="1" customHeight="1" x14ac:dyDescent="0.3">
      <c r="A94" s="29" t="s">
        <v>697</v>
      </c>
      <c r="B94" s="15">
        <v>1</v>
      </c>
      <c r="C94" s="16" t="e">
        <f>IF([2]!Artículos4[[#This Row],[Proveedor (código)]]="","",VLOOKUP([2]!Artículos4[[#This Row],[Proveedor (código)]],[2]Proveedores!A:B,2,FALSE))</f>
        <v>#REF!</v>
      </c>
      <c r="D94" s="29" t="s">
        <v>182</v>
      </c>
      <c r="E94" s="29" t="s">
        <v>48</v>
      </c>
      <c r="F94" s="51"/>
      <c r="G94" s="14"/>
      <c r="H94" s="14"/>
      <c r="I94" s="14">
        <v>9</v>
      </c>
      <c r="J94" s="16">
        <f>SUMIFS(Entradas!G:G,Entradas!E:E,Artículos[[#This Row],[Código]])</f>
        <v>0</v>
      </c>
      <c r="K94" s="16">
        <f>SUMIFS(Salidas!G:G,Salidas!E:E,Artículos[[#This Row],[Código]])</f>
        <v>0</v>
      </c>
      <c r="L94" s="16">
        <f>Artículos[[#This Row],[Existencias iniciales]]+Artículos[[#This Row],[Entradas]]-Artículos[[#This Row],[Salidas]]</f>
        <v>9</v>
      </c>
      <c r="M94" s="16" t="s">
        <v>57</v>
      </c>
      <c r="N94" s="16"/>
    </row>
    <row r="95" spans="1:14" ht="13.8" hidden="1" customHeight="1" x14ac:dyDescent="0.3">
      <c r="A95" s="29" t="s">
        <v>698</v>
      </c>
      <c r="B95" s="15">
        <v>1</v>
      </c>
      <c r="C95" s="16" t="e">
        <f>IF([2]!Artículos4[[#This Row],[Proveedor (código)]]="","",VLOOKUP([2]!Artículos4[[#This Row],[Proveedor (código)]],[2]Proveedores!A:B,2,FALSE))</f>
        <v>#REF!</v>
      </c>
      <c r="D95" s="29" t="s">
        <v>183</v>
      </c>
      <c r="E95" s="29" t="s">
        <v>48</v>
      </c>
      <c r="F95" s="51"/>
      <c r="G95" s="14"/>
      <c r="H95" s="14"/>
      <c r="I95" s="14"/>
      <c r="J95" s="16">
        <f>SUMIFS(Entradas!G:G,Entradas!E:E,Artículos[[#This Row],[Código]])</f>
        <v>0</v>
      </c>
      <c r="K95" s="16">
        <f>SUMIFS(Salidas!G:G,Salidas!E:E,Artículos[[#This Row],[Código]])</f>
        <v>0</v>
      </c>
      <c r="L95" s="16">
        <f>Artículos[[#This Row],[Existencias iniciales]]+Artículos[[#This Row],[Entradas]]-Artículos[[#This Row],[Salidas]]</f>
        <v>0</v>
      </c>
      <c r="M95" s="16" t="s">
        <v>57</v>
      </c>
      <c r="N95" s="16"/>
    </row>
    <row r="96" spans="1:14" ht="14.4" hidden="1" customHeight="1" x14ac:dyDescent="0.3">
      <c r="A96" s="29" t="s">
        <v>699</v>
      </c>
      <c r="B96" s="15">
        <v>1</v>
      </c>
      <c r="C96" s="16" t="e">
        <f>IF([2]!Artículos4[[#This Row],[Proveedor (código)]]="","",VLOOKUP([2]!Artículos4[[#This Row],[Proveedor (código)]],[2]Proveedores!A:B,2,FALSE))</f>
        <v>#REF!</v>
      </c>
      <c r="D96" s="29" t="s">
        <v>184</v>
      </c>
      <c r="E96" s="29" t="s">
        <v>48</v>
      </c>
      <c r="F96" s="51"/>
      <c r="G96" s="14"/>
      <c r="H96" s="14"/>
      <c r="I96" s="14">
        <v>30</v>
      </c>
      <c r="J96" s="16">
        <f>SUMIFS(Entradas!G:G,Entradas!E:E,Artículos[[#This Row],[Código]])</f>
        <v>0</v>
      </c>
      <c r="K96" s="16">
        <f>SUMIFS(Salidas!G:G,Salidas!E:E,Artículos[[#This Row],[Código]])</f>
        <v>0</v>
      </c>
      <c r="L96" s="16">
        <f>Artículos[[#This Row],[Existencias iniciales]]+Artículos[[#This Row],[Entradas]]-Artículos[[#This Row],[Salidas]]</f>
        <v>30</v>
      </c>
      <c r="M96" s="16" t="s">
        <v>57</v>
      </c>
      <c r="N96" s="16"/>
    </row>
    <row r="97" spans="1:14" ht="14.4" hidden="1" customHeight="1" x14ac:dyDescent="0.3">
      <c r="A97" s="29" t="s">
        <v>700</v>
      </c>
      <c r="B97" s="15">
        <v>1</v>
      </c>
      <c r="C97" s="16" t="e">
        <f>IF([2]!Artículos4[[#This Row],[Proveedor (código)]]="","",VLOOKUP([2]!Artículos4[[#This Row],[Proveedor (código)]],[2]Proveedores!A:B,2,FALSE))</f>
        <v>#REF!</v>
      </c>
      <c r="D97" s="29" t="s">
        <v>185</v>
      </c>
      <c r="E97" s="29" t="s">
        <v>48</v>
      </c>
      <c r="F97" s="51"/>
      <c r="G97" s="14"/>
      <c r="H97" s="14"/>
      <c r="I97" s="14"/>
      <c r="J97" s="16">
        <f>SUMIFS(Entradas!G:G,Entradas!E:E,Artículos[[#This Row],[Código]])</f>
        <v>0</v>
      </c>
      <c r="K97" s="16">
        <f>SUMIFS(Salidas!G:G,Salidas!E:E,Artículos[[#This Row],[Código]])</f>
        <v>0</v>
      </c>
      <c r="L97" s="16">
        <f>Artículos[[#This Row],[Existencias iniciales]]+Artículos[[#This Row],[Entradas]]-Artículos[[#This Row],[Salidas]]</f>
        <v>0</v>
      </c>
      <c r="M97" s="16" t="s">
        <v>57</v>
      </c>
      <c r="N97" s="16"/>
    </row>
    <row r="98" spans="1:14" ht="14.4" hidden="1" customHeight="1" x14ac:dyDescent="0.3">
      <c r="A98" s="29" t="s">
        <v>701</v>
      </c>
      <c r="B98" s="15">
        <v>1</v>
      </c>
      <c r="C98" s="16" t="e">
        <f>IF([2]!Artículos4[[#This Row],[Proveedor (código)]]="","",VLOOKUP([2]!Artículos4[[#This Row],[Proveedor (código)]],[2]Proveedores!A:B,2,FALSE))</f>
        <v>#REF!</v>
      </c>
      <c r="D98" s="29" t="s">
        <v>186</v>
      </c>
      <c r="E98" s="29" t="s">
        <v>48</v>
      </c>
      <c r="F98" s="51"/>
      <c r="G98" s="14"/>
      <c r="H98" s="14"/>
      <c r="I98" s="14"/>
      <c r="J98" s="16">
        <f>SUMIFS(Entradas!G:G,Entradas!E:E,Artículos[[#This Row],[Código]])</f>
        <v>0</v>
      </c>
      <c r="K98" s="16">
        <f>SUMIFS(Salidas!G:G,Salidas!E:E,Artículos[[#This Row],[Código]])</f>
        <v>0</v>
      </c>
      <c r="L98" s="16">
        <f>Artículos[[#This Row],[Existencias iniciales]]+Artículos[[#This Row],[Entradas]]-Artículos[[#This Row],[Salidas]]</f>
        <v>0</v>
      </c>
      <c r="M98" s="16" t="s">
        <v>57</v>
      </c>
      <c r="N98" s="16"/>
    </row>
    <row r="99" spans="1:14" ht="14.4" hidden="1" customHeight="1" x14ac:dyDescent="0.3">
      <c r="A99" s="29" t="s">
        <v>718</v>
      </c>
      <c r="B99" s="15"/>
      <c r="C99" s="16" t="e">
        <f>IF([2]!Artículos4[[#This Row],[Proveedor (código)]]="","",VLOOKUP([2]!Artículos4[[#This Row],[Proveedor (código)]],[2]Proveedores!A:B,2,FALSE))</f>
        <v>#REF!</v>
      </c>
      <c r="D99" s="29" t="s">
        <v>187</v>
      </c>
      <c r="E99" s="29" t="s">
        <v>48</v>
      </c>
      <c r="F99" s="51"/>
      <c r="G99" s="14"/>
      <c r="H99" s="14"/>
      <c r="I99" s="38"/>
      <c r="J99" s="16">
        <f>SUMIFS(Entradas!G:G,Entradas!E:E,Artículos[[#This Row],[Código]])</f>
        <v>0</v>
      </c>
      <c r="K99" s="16">
        <f>SUMIFS(Salidas!G:G,Salidas!E:E,Artículos[[#This Row],[Código]])</f>
        <v>0</v>
      </c>
      <c r="L99" s="16">
        <f>Artículos[[#This Row],[Existencias iniciales]]+Artículos[[#This Row],[Entradas]]-Artículos[[#This Row],[Salidas]]</f>
        <v>0</v>
      </c>
      <c r="M99" s="16" t="s">
        <v>57</v>
      </c>
      <c r="N99" s="16"/>
    </row>
    <row r="100" spans="1:14" ht="14.4" hidden="1" customHeight="1" x14ac:dyDescent="0.3">
      <c r="A100" s="29" t="s">
        <v>719</v>
      </c>
      <c r="B100" s="15">
        <v>1</v>
      </c>
      <c r="C100" s="16" t="e">
        <f>IF([2]!Artículos4[[#This Row],[Proveedor (código)]]="","",VLOOKUP([2]!Artículos4[[#This Row],[Proveedor (código)]],[2]Proveedores!A:B,2,FALSE))</f>
        <v>#REF!</v>
      </c>
      <c r="D100" s="29" t="s">
        <v>188</v>
      </c>
      <c r="E100" s="29" t="s">
        <v>48</v>
      </c>
      <c r="F100" s="51"/>
      <c r="G100" s="14"/>
      <c r="H100" s="14"/>
      <c r="I100" s="38"/>
      <c r="J100" s="16">
        <f>SUMIFS(Entradas!G:G,Entradas!E:E,Artículos[[#This Row],[Código]])</f>
        <v>0</v>
      </c>
      <c r="K100" s="16">
        <f>SUMIFS(Salidas!G:G,Salidas!E:E,Artículos[[#This Row],[Código]])</f>
        <v>0</v>
      </c>
      <c r="L100" s="16">
        <f>Artículos[[#This Row],[Existencias iniciales]]+Artículos[[#This Row],[Entradas]]-Artículos[[#This Row],[Salidas]]</f>
        <v>0</v>
      </c>
      <c r="M100" s="16" t="s">
        <v>57</v>
      </c>
      <c r="N100" s="16"/>
    </row>
    <row r="101" spans="1:14" ht="14.4" hidden="1" customHeight="1" x14ac:dyDescent="0.3">
      <c r="A101" s="29" t="s">
        <v>720</v>
      </c>
      <c r="B101" s="15">
        <v>1</v>
      </c>
      <c r="C101" s="16" t="e">
        <f>IF([2]!Artículos4[[#This Row],[Proveedor (código)]]="","",VLOOKUP([2]!Artículos4[[#This Row],[Proveedor (código)]],[2]Proveedores!A:B,2,FALSE))</f>
        <v>#REF!</v>
      </c>
      <c r="D101" s="29" t="s">
        <v>189</v>
      </c>
      <c r="E101" s="29" t="s">
        <v>48</v>
      </c>
      <c r="F101" s="51"/>
      <c r="G101" s="14"/>
      <c r="H101" s="14"/>
      <c r="I101" s="38"/>
      <c r="J101" s="16">
        <f>SUMIFS(Entradas!G:G,Entradas!E:E,Artículos[[#This Row],[Código]])</f>
        <v>0</v>
      </c>
      <c r="K101" s="16">
        <f>SUMIFS(Salidas!G:G,Salidas!E:E,Artículos[[#This Row],[Código]])</f>
        <v>0</v>
      </c>
      <c r="L101" s="16">
        <f>Artículos[[#This Row],[Existencias iniciales]]+Artículos[[#This Row],[Entradas]]-Artículos[[#This Row],[Salidas]]</f>
        <v>0</v>
      </c>
      <c r="M101" s="16" t="s">
        <v>57</v>
      </c>
      <c r="N101" s="16"/>
    </row>
    <row r="102" spans="1:14" ht="14.4" hidden="1" customHeight="1" x14ac:dyDescent="0.3">
      <c r="A102" s="29" t="s">
        <v>721</v>
      </c>
      <c r="B102" s="15"/>
      <c r="C102" s="16" t="e">
        <f>IF([2]!Artículos4[[#This Row],[Proveedor (código)]]="","",VLOOKUP([2]!Artículos4[[#This Row],[Proveedor (código)]],[2]Proveedores!A:B,2,FALSE))</f>
        <v>#REF!</v>
      </c>
      <c r="D102" s="29" t="s">
        <v>190</v>
      </c>
      <c r="E102" s="29" t="s">
        <v>48</v>
      </c>
      <c r="F102" s="51"/>
      <c r="G102" s="14"/>
      <c r="H102" s="14"/>
      <c r="I102" s="38"/>
      <c r="J102" s="16">
        <f>SUMIFS(Entradas!G:G,Entradas!E:E,Artículos[[#This Row],[Código]])</f>
        <v>0</v>
      </c>
      <c r="K102" s="16">
        <f>SUMIFS(Salidas!G:G,Salidas!E:E,Artículos[[#This Row],[Código]])</f>
        <v>0</v>
      </c>
      <c r="L102" s="16">
        <f>Artículos[[#This Row],[Existencias iniciales]]+Artículos[[#This Row],[Entradas]]-Artículos[[#This Row],[Salidas]]</f>
        <v>0</v>
      </c>
      <c r="M102" s="16" t="s">
        <v>57</v>
      </c>
      <c r="N102" s="16"/>
    </row>
    <row r="103" spans="1:14" ht="14.4" hidden="1" customHeight="1" x14ac:dyDescent="0.3">
      <c r="A103" s="29" t="s">
        <v>722</v>
      </c>
      <c r="B103" s="15"/>
      <c r="C103" s="16" t="e">
        <f>IF([2]!Artículos4[[#This Row],[Proveedor (código)]]="","",VLOOKUP([2]!Artículos4[[#This Row],[Proveedor (código)]],[2]Proveedores!A:B,2,FALSE))</f>
        <v>#REF!</v>
      </c>
      <c r="D103" s="29" t="s">
        <v>191</v>
      </c>
      <c r="E103" s="29" t="s">
        <v>48</v>
      </c>
      <c r="F103" s="51"/>
      <c r="G103" s="14"/>
      <c r="H103" s="14"/>
      <c r="I103" s="38"/>
      <c r="J103" s="16">
        <f>SUMIFS(Entradas!G:G,Entradas!E:E,Artículos[[#This Row],[Código]])</f>
        <v>0</v>
      </c>
      <c r="K103" s="16">
        <f>SUMIFS(Salidas!G:G,Salidas!E:E,Artículos[[#This Row],[Código]])</f>
        <v>0</v>
      </c>
      <c r="L103" s="16">
        <f>Artículos[[#This Row],[Existencias iniciales]]+Artículos[[#This Row],[Entradas]]-Artículos[[#This Row],[Salidas]]</f>
        <v>0</v>
      </c>
      <c r="M103" s="16" t="s">
        <v>57</v>
      </c>
      <c r="N103" s="16"/>
    </row>
    <row r="104" spans="1:14" ht="14.4" hidden="1" customHeight="1" x14ac:dyDescent="0.3">
      <c r="A104" s="29" t="s">
        <v>1338</v>
      </c>
      <c r="B104" s="15"/>
      <c r="C104" s="16" t="e">
        <f>IF([2]!Artículos4[[#This Row],[Proveedor (código)]]="","",VLOOKUP([2]!Artículos4[[#This Row],[Proveedor (código)]],[2]Proveedores!A:B,2,FALSE))</f>
        <v>#REF!</v>
      </c>
      <c r="D104" s="29" t="s">
        <v>192</v>
      </c>
      <c r="E104" s="29" t="s">
        <v>48</v>
      </c>
      <c r="F104" s="51"/>
      <c r="G104" s="14"/>
      <c r="H104" s="14"/>
      <c r="I104" s="38"/>
      <c r="J104" s="16">
        <f>SUMIFS(Entradas!G:G,Entradas!E:E,Artículos[[#This Row],[Código]])</f>
        <v>0</v>
      </c>
      <c r="K104" s="16">
        <f>SUMIFS(Salidas!G:G,Salidas!E:E,Artículos[[#This Row],[Código]])</f>
        <v>0</v>
      </c>
      <c r="L104" s="16">
        <f>Artículos[[#This Row],[Existencias iniciales]]+Artículos[[#This Row],[Entradas]]-Artículos[[#This Row],[Salidas]]</f>
        <v>0</v>
      </c>
      <c r="M104" s="16" t="s">
        <v>57</v>
      </c>
      <c r="N104" s="16"/>
    </row>
    <row r="105" spans="1:14" ht="14.4" hidden="1" customHeight="1" x14ac:dyDescent="0.3">
      <c r="A105" s="29" t="s">
        <v>1339</v>
      </c>
      <c r="B105" s="15"/>
      <c r="C105" s="16" t="e">
        <f>IF([2]!Artículos4[[#This Row],[Proveedor (código)]]="","",VLOOKUP([2]!Artículos4[[#This Row],[Proveedor (código)]],[2]Proveedores!A:B,2,FALSE))</f>
        <v>#REF!</v>
      </c>
      <c r="D105" s="29" t="s">
        <v>193</v>
      </c>
      <c r="E105" s="29" t="s">
        <v>48</v>
      </c>
      <c r="F105" s="51"/>
      <c r="G105" s="14"/>
      <c r="H105" s="14"/>
      <c r="I105" s="38"/>
      <c r="J105" s="16">
        <f>SUMIFS(Entradas!G:G,Entradas!E:E,Artículos[[#This Row],[Código]])</f>
        <v>0</v>
      </c>
      <c r="K105" s="16">
        <f>SUMIFS(Salidas!G:G,Salidas!E:E,Artículos[[#This Row],[Código]])</f>
        <v>0</v>
      </c>
      <c r="L105" s="16">
        <f>Artículos[[#This Row],[Existencias iniciales]]+Artículos[[#This Row],[Entradas]]-Artículos[[#This Row],[Salidas]]</f>
        <v>0</v>
      </c>
      <c r="M105" s="16" t="s">
        <v>57</v>
      </c>
      <c r="N105" s="16"/>
    </row>
    <row r="106" spans="1:14" ht="14.4" hidden="1" customHeight="1" x14ac:dyDescent="0.3">
      <c r="A106" s="29" t="s">
        <v>702</v>
      </c>
      <c r="B106" s="15"/>
      <c r="C106" s="16" t="e">
        <f>IF([2]!Artículos4[[#This Row],[Proveedor (código)]]="","",VLOOKUP([2]!Artículos4[[#This Row],[Proveedor (código)]],[2]Proveedores!A:B,2,FALSE))</f>
        <v>#REF!</v>
      </c>
      <c r="D106" s="29" t="s">
        <v>194</v>
      </c>
      <c r="E106" s="29" t="s">
        <v>48</v>
      </c>
      <c r="F106" s="51"/>
      <c r="G106" s="14"/>
      <c r="H106" s="14"/>
      <c r="I106" s="38"/>
      <c r="J106" s="16">
        <f>SUMIFS(Entradas!G:G,Entradas!E:E,Artículos[[#This Row],[Código]])</f>
        <v>0</v>
      </c>
      <c r="K106" s="16">
        <f>SUMIFS(Salidas!G:G,Salidas!E:E,Artículos[[#This Row],[Código]])</f>
        <v>0</v>
      </c>
      <c r="L106" s="16">
        <f>Artículos[[#This Row],[Existencias iniciales]]+Artículos[[#This Row],[Entradas]]-Artículos[[#This Row],[Salidas]]</f>
        <v>0</v>
      </c>
      <c r="M106" s="16" t="s">
        <v>57</v>
      </c>
      <c r="N106" s="16"/>
    </row>
    <row r="107" spans="1:14" ht="14.4" hidden="1" customHeight="1" x14ac:dyDescent="0.3">
      <c r="A107" s="29" t="s">
        <v>1340</v>
      </c>
      <c r="B107" s="15"/>
      <c r="C107" s="16" t="e">
        <f>IF([2]!Artículos4[[#This Row],[Proveedor (código)]]="","",VLOOKUP([2]!Artículos4[[#This Row],[Proveedor (código)]],[2]Proveedores!A:B,2,FALSE))</f>
        <v>#REF!</v>
      </c>
      <c r="D107" s="29" t="s">
        <v>195</v>
      </c>
      <c r="E107" s="29" t="s">
        <v>48</v>
      </c>
      <c r="F107" s="51"/>
      <c r="G107" s="14"/>
      <c r="H107" s="14"/>
      <c r="I107" s="38"/>
      <c r="J107" s="16">
        <f>SUMIFS(Entradas!G:G,Entradas!E:E,Artículos[[#This Row],[Código]])</f>
        <v>0</v>
      </c>
      <c r="K107" s="16">
        <f>SUMIFS(Salidas!G:G,Salidas!E:E,Artículos[[#This Row],[Código]])</f>
        <v>0</v>
      </c>
      <c r="L107" s="16">
        <f>Artículos[[#This Row],[Existencias iniciales]]+Artículos[[#This Row],[Entradas]]-Artículos[[#This Row],[Salidas]]</f>
        <v>0</v>
      </c>
      <c r="M107" s="16" t="s">
        <v>57</v>
      </c>
      <c r="N107" s="16"/>
    </row>
    <row r="108" spans="1:14" ht="14.4" hidden="1" customHeight="1" x14ac:dyDescent="0.3">
      <c r="A108" s="29" t="s">
        <v>1341</v>
      </c>
      <c r="B108" s="15"/>
      <c r="C108" s="16" t="e">
        <f>IF([2]!Artículos4[[#This Row],[Proveedor (código)]]="","",VLOOKUP([2]!Artículos4[[#This Row],[Proveedor (código)]],[2]Proveedores!A:B,2,FALSE))</f>
        <v>#REF!</v>
      </c>
      <c r="D108" s="29" t="s">
        <v>196</v>
      </c>
      <c r="E108" s="29" t="s">
        <v>48</v>
      </c>
      <c r="F108" s="51"/>
      <c r="G108" s="14"/>
      <c r="H108" s="14"/>
      <c r="I108" s="38"/>
      <c r="J108" s="16">
        <f>SUMIFS(Entradas!G:G,Entradas!E:E,Artículos[[#This Row],[Código]])</f>
        <v>0</v>
      </c>
      <c r="K108" s="16">
        <f>SUMIFS(Salidas!G:G,Salidas!E:E,Artículos[[#This Row],[Código]])</f>
        <v>0</v>
      </c>
      <c r="L108" s="16">
        <f>Artículos[[#This Row],[Existencias iniciales]]+Artículos[[#This Row],[Entradas]]-Artículos[[#This Row],[Salidas]]</f>
        <v>0</v>
      </c>
      <c r="M108" s="16" t="s">
        <v>69</v>
      </c>
      <c r="N108" s="16"/>
    </row>
    <row r="109" spans="1:14" ht="14.4" hidden="1" customHeight="1" x14ac:dyDescent="0.3">
      <c r="A109" s="29" t="s">
        <v>1342</v>
      </c>
      <c r="B109" s="15"/>
      <c r="C109" s="16" t="e">
        <f>IF([2]!Artículos4[[#This Row],[Proveedor (código)]]="","",VLOOKUP([2]!Artículos4[[#This Row],[Proveedor (código)]],[2]Proveedores!A:B,2,FALSE))</f>
        <v>#REF!</v>
      </c>
      <c r="D109" s="29" t="s">
        <v>197</v>
      </c>
      <c r="E109" s="29" t="s">
        <v>48</v>
      </c>
      <c r="F109" s="51"/>
      <c r="G109" s="14"/>
      <c r="H109" s="14"/>
      <c r="I109" s="38"/>
      <c r="J109" s="16">
        <f>SUMIFS(Entradas!G:G,Entradas!E:E,Artículos[[#This Row],[Código]])</f>
        <v>0</v>
      </c>
      <c r="K109" s="16">
        <f>SUMIFS(Salidas!G:G,Salidas!E:E,Artículos[[#This Row],[Código]])</f>
        <v>0</v>
      </c>
      <c r="L109" s="16">
        <f>Artículos[[#This Row],[Existencias iniciales]]+Artículos[[#This Row],[Entradas]]-Artículos[[#This Row],[Salidas]]</f>
        <v>0</v>
      </c>
      <c r="M109" s="16" t="s">
        <v>69</v>
      </c>
      <c r="N109" s="16"/>
    </row>
    <row r="110" spans="1:14" ht="14.4" hidden="1" customHeight="1" x14ac:dyDescent="0.3">
      <c r="A110" s="29" t="s">
        <v>1343</v>
      </c>
      <c r="B110" s="15">
        <v>1</v>
      </c>
      <c r="C110" s="16" t="e">
        <f>IF([2]!Artículos4[[#This Row],[Proveedor (código)]]="","",VLOOKUP([2]!Artículos4[[#This Row],[Proveedor (código)]],[2]Proveedores!A:B,2,FALSE))</f>
        <v>#REF!</v>
      </c>
      <c r="D110" s="29" t="s">
        <v>198</v>
      </c>
      <c r="E110" s="29" t="s">
        <v>48</v>
      </c>
      <c r="F110" s="51"/>
      <c r="G110" s="14"/>
      <c r="H110" s="14"/>
      <c r="I110" s="14"/>
      <c r="J110" s="16">
        <f>SUMIFS(Entradas!G:G,Entradas!E:E,Artículos[[#This Row],[Código]])</f>
        <v>0</v>
      </c>
      <c r="K110" s="16">
        <f>SUMIFS(Salidas!G:G,Salidas!E:E,Artículos[[#This Row],[Código]])</f>
        <v>0</v>
      </c>
      <c r="L110" s="16">
        <f>Artículos[[#This Row],[Existencias iniciales]]+Artículos[[#This Row],[Entradas]]-Artículos[[#This Row],[Salidas]]</f>
        <v>0</v>
      </c>
      <c r="M110" s="16" t="s">
        <v>69</v>
      </c>
      <c r="N110" s="16"/>
    </row>
    <row r="111" spans="1:14" ht="14.4" hidden="1" customHeight="1" x14ac:dyDescent="0.3">
      <c r="A111" s="29" t="s">
        <v>1344</v>
      </c>
      <c r="B111" s="15">
        <v>1</v>
      </c>
      <c r="C111" s="16" t="e">
        <f>IF([2]!Artículos4[[#This Row],[Proveedor (código)]]="","",VLOOKUP([2]!Artículos4[[#This Row],[Proveedor (código)]],[2]Proveedores!A:B,2,FALSE))</f>
        <v>#REF!</v>
      </c>
      <c r="D111" s="29" t="s">
        <v>199</v>
      </c>
      <c r="E111" s="29" t="s">
        <v>48</v>
      </c>
      <c r="F111" s="51"/>
      <c r="G111" s="14"/>
      <c r="H111" s="14"/>
      <c r="I111" s="14">
        <v>5</v>
      </c>
      <c r="J111" s="16">
        <f>SUMIFS(Entradas!G:G,Entradas!E:E,Artículos[[#This Row],[Código]])</f>
        <v>0</v>
      </c>
      <c r="K111" s="16">
        <f>SUMIFS(Salidas!G:G,Salidas!E:E,Artículos[[#This Row],[Código]])</f>
        <v>0</v>
      </c>
      <c r="L111" s="16">
        <f>Artículos[[#This Row],[Existencias iniciales]]+Artículos[[#This Row],[Entradas]]-Artículos[[#This Row],[Salidas]]</f>
        <v>5</v>
      </c>
      <c r="M111" s="16" t="s">
        <v>69</v>
      </c>
      <c r="N111" s="16"/>
    </row>
    <row r="112" spans="1:14" ht="14.4" hidden="1" customHeight="1" x14ac:dyDescent="0.3">
      <c r="A112" s="29" t="s">
        <v>1345</v>
      </c>
      <c r="B112" s="15">
        <v>1</v>
      </c>
      <c r="C112" s="16" t="e">
        <f>IF([2]!Artículos4[[#This Row],[Proveedor (código)]]="","",VLOOKUP([2]!Artículos4[[#This Row],[Proveedor (código)]],[2]Proveedores!A:B,2,FALSE))</f>
        <v>#REF!</v>
      </c>
      <c r="D112" s="29" t="s">
        <v>685</v>
      </c>
      <c r="E112" s="29" t="s">
        <v>48</v>
      </c>
      <c r="F112" s="51"/>
      <c r="G112" s="14"/>
      <c r="H112" s="14"/>
      <c r="I112" s="14">
        <v>4</v>
      </c>
      <c r="J112" s="16">
        <f>SUMIFS(Entradas!G:G,Entradas!E:E,Artículos[[#This Row],[Código]])</f>
        <v>0</v>
      </c>
      <c r="K112" s="16">
        <f>SUMIFS(Salidas!G:G,Salidas!E:E,Artículos[[#This Row],[Código]])</f>
        <v>0</v>
      </c>
      <c r="L112" s="16">
        <f>Artículos[[#This Row],[Existencias iniciales]]+Artículos[[#This Row],[Entradas]]-Artículos[[#This Row],[Salidas]]</f>
        <v>4</v>
      </c>
      <c r="M112" s="16" t="s">
        <v>69</v>
      </c>
      <c r="N112" s="16"/>
    </row>
    <row r="113" spans="1:14" ht="14.4" hidden="1" customHeight="1" x14ac:dyDescent="0.3">
      <c r="A113" s="29" t="s">
        <v>1346</v>
      </c>
      <c r="B113" s="15">
        <v>1</v>
      </c>
      <c r="C113" s="16" t="e">
        <f>IF([2]!Artículos4[[#This Row],[Proveedor (código)]]="","",VLOOKUP([2]!Artículos4[[#This Row],[Proveedor (código)]],[2]Proveedores!A:B,2,FALSE))</f>
        <v>#REF!</v>
      </c>
      <c r="D113" s="29"/>
      <c r="E113" s="29" t="s">
        <v>48</v>
      </c>
      <c r="F113" s="51"/>
      <c r="G113" s="14"/>
      <c r="H113" s="14"/>
      <c r="I113" s="14"/>
      <c r="J113" s="16">
        <f>SUMIFS(Entradas!G:G,Entradas!E:E,Artículos[[#This Row],[Código]])</f>
        <v>0</v>
      </c>
      <c r="K113" s="16">
        <f>SUMIFS(Salidas!G:G,Salidas!E:E,Artículos[[#This Row],[Código]])</f>
        <v>0</v>
      </c>
      <c r="L113" s="16">
        <f>Artículos[[#This Row],[Existencias iniciales]]+Artículos[[#This Row],[Entradas]]-Artículos[[#This Row],[Salidas]]</f>
        <v>0</v>
      </c>
      <c r="M113" s="16" t="s">
        <v>53</v>
      </c>
      <c r="N113" s="16"/>
    </row>
    <row r="114" spans="1:14" ht="14.4" hidden="1" customHeight="1" x14ac:dyDescent="0.3">
      <c r="A114" s="29" t="s">
        <v>1347</v>
      </c>
      <c r="B114" s="15">
        <v>1</v>
      </c>
      <c r="C114" s="16" t="e">
        <f>IF([2]!Artículos4[[#This Row],[Proveedor (código)]]="","",VLOOKUP([2]!Artículos4[[#This Row],[Proveedor (código)]],[2]Proveedores!A:B,2,FALSE))</f>
        <v>#REF!</v>
      </c>
      <c r="D114" s="29"/>
      <c r="E114" s="29" t="s">
        <v>48</v>
      </c>
      <c r="F114" s="51"/>
      <c r="G114" s="14"/>
      <c r="H114" s="14"/>
      <c r="I114" s="14"/>
      <c r="J114" s="16">
        <f>SUMIFS(Entradas!G:G,Entradas!E:E,Artículos[[#This Row],[Código]])</f>
        <v>0</v>
      </c>
      <c r="K114" s="16">
        <f>SUMIFS(Salidas!G:G,Salidas!E:E,Artículos[[#This Row],[Código]])</f>
        <v>0</v>
      </c>
      <c r="L114" s="16">
        <f>Artículos[[#This Row],[Existencias iniciales]]+Artículos[[#This Row],[Entradas]]-Artículos[[#This Row],[Salidas]]</f>
        <v>0</v>
      </c>
      <c r="M114" s="16" t="s">
        <v>53</v>
      </c>
      <c r="N114" s="16"/>
    </row>
    <row r="115" spans="1:14" ht="14.4" hidden="1" customHeight="1" x14ac:dyDescent="0.3">
      <c r="A115" s="29" t="s">
        <v>716</v>
      </c>
      <c r="B115" s="15">
        <v>1</v>
      </c>
      <c r="C115" s="16" t="e">
        <f>IF([2]!Artículos4[[#This Row],[Proveedor (código)]]="","",VLOOKUP([2]!Artículos4[[#This Row],[Proveedor (código)]],[2]Proveedores!A:B,2,FALSE))</f>
        <v>#REF!</v>
      </c>
      <c r="D115" s="29" t="s">
        <v>200</v>
      </c>
      <c r="E115" s="29" t="s">
        <v>201</v>
      </c>
      <c r="F115" s="51"/>
      <c r="G115" s="14"/>
      <c r="H115" s="14"/>
      <c r="I115" s="14"/>
      <c r="J115" s="16">
        <f>SUMIFS(Entradas!G:G,Entradas!E:E,Artículos[[#This Row],[Código]])</f>
        <v>1</v>
      </c>
      <c r="K115" s="16">
        <f>SUMIFS(Salidas!G:G,Salidas!E:E,Artículos[[#This Row],[Código]])</f>
        <v>0</v>
      </c>
      <c r="L115" s="16">
        <f>Artículos[[#This Row],[Existencias iniciales]]+Artículos[[#This Row],[Entradas]]-Artículos[[#This Row],[Salidas]]</f>
        <v>1</v>
      </c>
      <c r="M115" s="16" t="s">
        <v>53</v>
      </c>
      <c r="N115" s="16"/>
    </row>
    <row r="116" spans="1:14" ht="14.4" hidden="1" customHeight="1" x14ac:dyDescent="0.3">
      <c r="A116" s="29" t="s">
        <v>885</v>
      </c>
      <c r="B116" s="15">
        <v>1</v>
      </c>
      <c r="C116" s="16" t="e">
        <f>IF([2]!Artículos4[[#This Row],[Proveedor (código)]]="","",VLOOKUP([2]!Artículos4[[#This Row],[Proveedor (código)]],[2]Proveedores!A:B,2,FALSE))</f>
        <v>#REF!</v>
      </c>
      <c r="D116" s="29" t="s">
        <v>202</v>
      </c>
      <c r="E116" s="29" t="s">
        <v>201</v>
      </c>
      <c r="F116" s="51">
        <v>4.12</v>
      </c>
      <c r="G116" s="14"/>
      <c r="H116" s="14"/>
      <c r="I116" s="14">
        <v>1</v>
      </c>
      <c r="J116" s="16">
        <f>SUMIFS(Entradas!G:G,Entradas!E:E,Artículos[[#This Row],[Código]])</f>
        <v>19</v>
      </c>
      <c r="K116" s="16">
        <f>SUMIFS(Salidas!G:G,Salidas!E:E,Artículos[[#This Row],[Código]])</f>
        <v>44</v>
      </c>
      <c r="L116" s="16">
        <f>Artículos[[#This Row],[Existencias iniciales]]+Artículos[[#This Row],[Entradas]]-Artículos[[#This Row],[Salidas]]</f>
        <v>-24</v>
      </c>
      <c r="M116" s="16" t="s">
        <v>53</v>
      </c>
      <c r="N116" s="16"/>
    </row>
    <row r="117" spans="1:14" ht="14.4" hidden="1" customHeight="1" x14ac:dyDescent="0.3">
      <c r="A117" s="29" t="s">
        <v>886</v>
      </c>
      <c r="B117" s="15">
        <v>1</v>
      </c>
      <c r="C117" s="16" t="e">
        <f>IF([2]!Artículos4[[#This Row],[Proveedor (código)]]="","",VLOOKUP([2]!Artículos4[[#This Row],[Proveedor (código)]],[2]Proveedores!A:B,2,FALSE))</f>
        <v>#REF!</v>
      </c>
      <c r="D117" s="29" t="s">
        <v>203</v>
      </c>
      <c r="E117" s="29" t="s">
        <v>201</v>
      </c>
      <c r="F117" s="51"/>
      <c r="G117" s="14"/>
      <c r="H117" s="14"/>
      <c r="I117" s="14"/>
      <c r="J117" s="16">
        <f>SUMIFS(Entradas!G:G,Entradas!E:E,Artículos[[#This Row],[Código]])</f>
        <v>0</v>
      </c>
      <c r="K117" s="16">
        <f>SUMIFS(Salidas!G:G,Salidas!E:E,Artículos[[#This Row],[Código]])</f>
        <v>0</v>
      </c>
      <c r="L117" s="16">
        <f>Artículos[[#This Row],[Existencias iniciales]]+Artículos[[#This Row],[Entradas]]-Artículos[[#This Row],[Salidas]]</f>
        <v>0</v>
      </c>
      <c r="M117" s="16" t="s">
        <v>53</v>
      </c>
      <c r="N117" s="16"/>
    </row>
    <row r="118" spans="1:14" ht="14.4" hidden="1" customHeight="1" x14ac:dyDescent="0.3">
      <c r="A118" s="29" t="s">
        <v>887</v>
      </c>
      <c r="B118" s="15">
        <v>1</v>
      </c>
      <c r="C118" s="16" t="e">
        <f>IF([2]!Artículos4[[#This Row],[Proveedor (código)]]="","",VLOOKUP([2]!Artículos4[[#This Row],[Proveedor (código)]],[2]Proveedores!A:B,2,FALSE))</f>
        <v>#REF!</v>
      </c>
      <c r="D118" s="29" t="s">
        <v>204</v>
      </c>
      <c r="E118" s="29" t="s">
        <v>201</v>
      </c>
      <c r="F118" s="51"/>
      <c r="G118" s="14"/>
      <c r="H118" s="14"/>
      <c r="I118" s="14">
        <v>527</v>
      </c>
      <c r="J118" s="16">
        <f>SUMIFS(Entradas!G:G,Entradas!E:E,Artículos[[#This Row],[Código]])</f>
        <v>205</v>
      </c>
      <c r="K118" s="16">
        <f>SUMIFS(Salidas!G:G,Salidas!E:E,Artículos[[#This Row],[Código]])</f>
        <v>71</v>
      </c>
      <c r="L118" s="16">
        <f>Artículos[[#This Row],[Existencias iniciales]]+Artículos[[#This Row],[Entradas]]-Artículos[[#This Row],[Salidas]]</f>
        <v>661</v>
      </c>
      <c r="M118" s="16" t="s">
        <v>53</v>
      </c>
      <c r="N118" s="16"/>
    </row>
    <row r="119" spans="1:14" ht="14.4" hidden="1" customHeight="1" x14ac:dyDescent="0.3">
      <c r="A119" s="29" t="s">
        <v>888</v>
      </c>
      <c r="B119" s="15"/>
      <c r="C119" s="16" t="e">
        <f>IF([2]!Artículos4[[#This Row],[Proveedor (código)]]="","",VLOOKUP([2]!Artículos4[[#This Row],[Proveedor (código)]],[2]Proveedores!A:B,2,FALSE))</f>
        <v>#REF!</v>
      </c>
      <c r="D119" s="29" t="s">
        <v>205</v>
      </c>
      <c r="E119" s="29" t="s">
        <v>201</v>
      </c>
      <c r="F119" s="51"/>
      <c r="G119" s="14"/>
      <c r="H119" s="14"/>
      <c r="I119" s="14"/>
      <c r="J119" s="16">
        <f>SUMIFS(Entradas!G:G,Entradas!E:E,Artículos[[#This Row],[Código]])</f>
        <v>0</v>
      </c>
      <c r="K119" s="16">
        <f>SUMIFS(Salidas!G:G,Salidas!E:E,Artículos[[#This Row],[Código]])</f>
        <v>0</v>
      </c>
      <c r="L119" s="16">
        <f>Artículos[[#This Row],[Existencias iniciales]]+Artículos[[#This Row],[Entradas]]-Artículos[[#This Row],[Salidas]]</f>
        <v>0</v>
      </c>
      <c r="M119" s="16" t="s">
        <v>53</v>
      </c>
      <c r="N119" s="16"/>
    </row>
    <row r="120" spans="1:14" ht="14.4" hidden="1" customHeight="1" x14ac:dyDescent="0.3">
      <c r="A120" s="29" t="s">
        <v>889</v>
      </c>
      <c r="B120" s="15"/>
      <c r="C120" s="16" t="e">
        <f>IF([2]!Artículos4[[#This Row],[Proveedor (código)]]="","",VLOOKUP([2]!Artículos4[[#This Row],[Proveedor (código)]],[2]Proveedores!A:B,2,FALSE))</f>
        <v>#REF!</v>
      </c>
      <c r="D120" s="29" t="s">
        <v>206</v>
      </c>
      <c r="E120" s="29" t="s">
        <v>201</v>
      </c>
      <c r="F120" s="51"/>
      <c r="G120" s="14"/>
      <c r="H120" s="14"/>
      <c r="I120" s="14"/>
      <c r="J120" s="16">
        <f>SUMIFS(Entradas!G:G,Entradas!E:E,Artículos[[#This Row],[Código]])</f>
        <v>0</v>
      </c>
      <c r="K120" s="16">
        <f>SUMIFS(Salidas!G:G,Salidas!E:E,Artículos[[#This Row],[Código]])</f>
        <v>0</v>
      </c>
      <c r="L120" s="16">
        <f>Artículos[[#This Row],[Existencias iniciales]]+Artículos[[#This Row],[Entradas]]-Artículos[[#This Row],[Salidas]]</f>
        <v>0</v>
      </c>
      <c r="M120" s="16" t="s">
        <v>53</v>
      </c>
      <c r="N120" s="16"/>
    </row>
    <row r="121" spans="1:14" ht="14.4" hidden="1" customHeight="1" x14ac:dyDescent="0.3">
      <c r="A121" s="29" t="s">
        <v>890</v>
      </c>
      <c r="B121" s="15"/>
      <c r="C121" s="16" t="e">
        <f>IF([2]!Artículos4[[#This Row],[Proveedor (código)]]="","",VLOOKUP([2]!Artículos4[[#This Row],[Proveedor (código)]],[2]Proveedores!A:B,2,FALSE))</f>
        <v>#REF!</v>
      </c>
      <c r="D121" s="29" t="s">
        <v>207</v>
      </c>
      <c r="E121" s="29" t="s">
        <v>201</v>
      </c>
      <c r="F121" s="51"/>
      <c r="G121" s="14"/>
      <c r="H121" s="14"/>
      <c r="I121" s="14"/>
      <c r="J121" s="16">
        <f>SUMIFS(Entradas!G:G,Entradas!E:E,Artículos[[#This Row],[Código]])</f>
        <v>0</v>
      </c>
      <c r="K121" s="16">
        <f>SUMIFS(Salidas!G:G,Salidas!E:E,Artículos[[#This Row],[Código]])</f>
        <v>0</v>
      </c>
      <c r="L121" s="16">
        <f>Artículos[[#This Row],[Existencias iniciales]]+Artículos[[#This Row],[Entradas]]-Artículos[[#This Row],[Salidas]]</f>
        <v>0</v>
      </c>
      <c r="M121" s="16" t="s">
        <v>75</v>
      </c>
      <c r="N121" s="16"/>
    </row>
    <row r="122" spans="1:14" ht="14.4" hidden="1" customHeight="1" x14ac:dyDescent="0.3">
      <c r="A122" s="29" t="s">
        <v>891</v>
      </c>
      <c r="B122" s="15"/>
      <c r="C122" s="16" t="e">
        <f>IF([2]!Artículos4[[#This Row],[Proveedor (código)]]="","",VLOOKUP([2]!Artículos4[[#This Row],[Proveedor (código)]],[2]Proveedores!A:B,2,FALSE))</f>
        <v>#REF!</v>
      </c>
      <c r="D122" s="29" t="s">
        <v>208</v>
      </c>
      <c r="E122" s="29" t="s">
        <v>201</v>
      </c>
      <c r="F122" s="52"/>
      <c r="G122" s="14"/>
      <c r="H122" s="14"/>
      <c r="I122" s="14"/>
      <c r="J122" s="16">
        <f>SUMIFS(Entradas!G:G,Entradas!E:E,Artículos[[#This Row],[Código]])</f>
        <v>0</v>
      </c>
      <c r="K122" s="16">
        <f>SUMIFS(Salidas!G:G,Salidas!E:E,Artículos[[#This Row],[Código]])</f>
        <v>0</v>
      </c>
      <c r="L122" s="16">
        <f>Artículos[[#This Row],[Existencias iniciales]]+Artículos[[#This Row],[Entradas]]-Artículos[[#This Row],[Salidas]]</f>
        <v>0</v>
      </c>
      <c r="M122" s="16"/>
      <c r="N122" s="16"/>
    </row>
    <row r="123" spans="1:14" ht="14.4" hidden="1" customHeight="1" x14ac:dyDescent="0.3">
      <c r="A123" s="29" t="s">
        <v>892</v>
      </c>
      <c r="B123" s="15"/>
      <c r="C123" s="16" t="e">
        <f>IF([2]!Artículos4[[#This Row],[Proveedor (código)]]="","",VLOOKUP([2]!Artículos4[[#This Row],[Proveedor (código)]],[2]Proveedores!A:B,2,FALSE))</f>
        <v>#REF!</v>
      </c>
      <c r="D123" s="29" t="s">
        <v>209</v>
      </c>
      <c r="E123" s="29" t="s">
        <v>201</v>
      </c>
      <c r="F123" s="51"/>
      <c r="G123" s="14"/>
      <c r="H123" s="14"/>
      <c r="I123" s="14"/>
      <c r="J123" s="16">
        <f>SUMIFS(Entradas!G:G,Entradas!E:E,Artículos[[#This Row],[Código]])</f>
        <v>0</v>
      </c>
      <c r="K123" s="16">
        <f>SUMIFS(Salidas!G:G,Salidas!E:E,Artículos[[#This Row],[Código]])</f>
        <v>0</v>
      </c>
      <c r="L123" s="16">
        <f>Artículos[[#This Row],[Existencias iniciales]]+Artículos[[#This Row],[Entradas]]-Artículos[[#This Row],[Salidas]]</f>
        <v>0</v>
      </c>
      <c r="M123" s="16"/>
      <c r="N123" s="16"/>
    </row>
    <row r="124" spans="1:14" ht="14.4" hidden="1" customHeight="1" x14ac:dyDescent="0.3">
      <c r="A124" s="29" t="s">
        <v>893</v>
      </c>
      <c r="B124" s="15"/>
      <c r="C124" s="16" t="e">
        <f>IF([2]!Artículos4[[#This Row],[Proveedor (código)]]="","",VLOOKUP([2]!Artículos4[[#This Row],[Proveedor (código)]],[2]Proveedores!A:B,2,FALSE))</f>
        <v>#REF!</v>
      </c>
      <c r="D124" s="29" t="s">
        <v>210</v>
      </c>
      <c r="E124" s="29" t="s">
        <v>201</v>
      </c>
      <c r="F124" s="51"/>
      <c r="G124" s="14"/>
      <c r="H124" s="14"/>
      <c r="I124" s="14"/>
      <c r="J124" s="16">
        <f>SUMIFS(Entradas!G:G,Entradas!E:E,Artículos[[#This Row],[Código]])</f>
        <v>0</v>
      </c>
      <c r="K124" s="16">
        <f>SUMIFS(Salidas!G:G,Salidas!E:E,Artículos[[#This Row],[Código]])</f>
        <v>0</v>
      </c>
      <c r="L124" s="16">
        <f>Artículos[[#This Row],[Existencias iniciales]]+Artículos[[#This Row],[Entradas]]-Artículos[[#This Row],[Salidas]]</f>
        <v>0</v>
      </c>
      <c r="M124" s="16"/>
      <c r="N124" s="16"/>
    </row>
    <row r="125" spans="1:14" ht="14.4" hidden="1" customHeight="1" x14ac:dyDescent="0.3">
      <c r="A125" s="29" t="s">
        <v>895</v>
      </c>
      <c r="B125" s="15"/>
      <c r="C125" s="16" t="e">
        <f>IF([2]!Artículos4[[#This Row],[Proveedor (código)]]="","",VLOOKUP([2]!Artículos4[[#This Row],[Proveedor (código)]],[2]Proveedores!A:B,2,FALSE))</f>
        <v>#REF!</v>
      </c>
      <c r="D125" s="29" t="s">
        <v>211</v>
      </c>
      <c r="E125" s="29" t="s">
        <v>201</v>
      </c>
      <c r="F125" s="51"/>
      <c r="G125" s="14"/>
      <c r="H125" s="14"/>
      <c r="I125" s="14"/>
      <c r="J125" s="16">
        <f>SUMIFS(Entradas!G:G,Entradas!E:E,Artículos[[#This Row],[Código]])</f>
        <v>0</v>
      </c>
      <c r="K125" s="16">
        <f>SUMIFS(Salidas!G:G,Salidas!E:E,Artículos[[#This Row],[Código]])</f>
        <v>0</v>
      </c>
      <c r="L125" s="16">
        <f>Artículos[[#This Row],[Existencias iniciales]]+Artículos[[#This Row],[Entradas]]-Artículos[[#This Row],[Salidas]]</f>
        <v>0</v>
      </c>
      <c r="M125" s="16"/>
      <c r="N125" s="16"/>
    </row>
    <row r="126" spans="1:14" ht="14.4" hidden="1" customHeight="1" x14ac:dyDescent="0.3">
      <c r="A126" s="29" t="s">
        <v>894</v>
      </c>
      <c r="D126" s="29" t="s">
        <v>212</v>
      </c>
      <c r="E126" s="29" t="s">
        <v>201</v>
      </c>
      <c r="F126" s="51"/>
      <c r="G126" s="14"/>
      <c r="H126" s="14"/>
      <c r="I126" s="3">
        <v>3</v>
      </c>
      <c r="J126" s="16">
        <f>SUMIFS(Entradas!G:G,Entradas!E:E,Artículos[[#This Row],[Código]])</f>
        <v>11</v>
      </c>
      <c r="K126" s="16">
        <f>SUMIFS(Salidas!G:G,Salidas!E:E,Artículos[[#This Row],[Código]])</f>
        <v>0</v>
      </c>
      <c r="L126" s="16">
        <f>Artículos[[#This Row],[Existencias iniciales]]+Artículos[[#This Row],[Entradas]]-Artículos[[#This Row],[Salidas]]</f>
        <v>14</v>
      </c>
      <c r="M126" s="16"/>
      <c r="N126" s="16"/>
    </row>
    <row r="127" spans="1:14" ht="14.4" hidden="1" customHeight="1" x14ac:dyDescent="0.3">
      <c r="A127" s="29" t="s">
        <v>896</v>
      </c>
      <c r="B127" s="15">
        <v>1</v>
      </c>
      <c r="C127" s="16" t="e">
        <f>IF([2]!Artículos4[[#This Row],[Proveedor (código)]]="","",VLOOKUP([2]!Artículos4[[#This Row],[Proveedor (código)]],[2]Proveedores!A:B,2,FALSE))</f>
        <v>#REF!</v>
      </c>
      <c r="D127" s="29" t="s">
        <v>213</v>
      </c>
      <c r="E127" s="29" t="s">
        <v>201</v>
      </c>
      <c r="F127" s="51">
        <v>8.73</v>
      </c>
      <c r="G127" s="14"/>
      <c r="H127" s="14"/>
      <c r="I127" s="14">
        <v>26</v>
      </c>
      <c r="J127" s="16">
        <f>SUMIFS(Entradas!G:G,Entradas!E:E,Artículos[[#This Row],[Código]])</f>
        <v>4</v>
      </c>
      <c r="K127" s="16">
        <f>SUMIFS(Salidas!G:G,Salidas!E:E,Artículos[[#This Row],[Código]])</f>
        <v>0</v>
      </c>
      <c r="L127" s="16">
        <f>Artículos[[#This Row],[Existencias iniciales]]+Artículos[[#This Row],[Entradas]]-Artículos[[#This Row],[Salidas]]</f>
        <v>30</v>
      </c>
      <c r="M127" s="16"/>
      <c r="N127" s="16"/>
    </row>
    <row r="128" spans="1:14" ht="14.4" hidden="1" customHeight="1" x14ac:dyDescent="0.3">
      <c r="A128" s="29" t="s">
        <v>897</v>
      </c>
      <c r="B128" s="15">
        <v>1</v>
      </c>
      <c r="C128" s="16" t="e">
        <f>IF([2]!Artículos4[[#This Row],[Proveedor (código)]]="","",VLOOKUP([2]!Artículos4[[#This Row],[Proveedor (código)]],[2]Proveedores!A:B,2,FALSE))</f>
        <v>#REF!</v>
      </c>
      <c r="D128" s="29" t="s">
        <v>214</v>
      </c>
      <c r="E128" s="29" t="s">
        <v>201</v>
      </c>
      <c r="F128" s="51"/>
      <c r="G128" s="14"/>
      <c r="H128" s="14"/>
      <c r="I128" s="14"/>
      <c r="J128" s="16">
        <f>SUMIFS(Entradas!G:G,Entradas!E:E,Artículos[[#This Row],[Código]])</f>
        <v>0</v>
      </c>
      <c r="K128" s="16">
        <f>SUMIFS(Salidas!G:G,Salidas!E:E,Artículos[[#This Row],[Código]])</f>
        <v>0</v>
      </c>
      <c r="L128" s="16">
        <f>Artículos[[#This Row],[Existencias iniciales]]+Artículos[[#This Row],[Entradas]]-Artículos[[#This Row],[Salidas]]</f>
        <v>0</v>
      </c>
      <c r="M128" s="16"/>
      <c r="N128" s="16"/>
    </row>
    <row r="129" spans="1:14" ht="14.4" hidden="1" customHeight="1" x14ac:dyDescent="0.3">
      <c r="A129" s="29" t="s">
        <v>898</v>
      </c>
      <c r="B129" s="15">
        <v>1</v>
      </c>
      <c r="C129" s="16" t="e">
        <f>IF([2]!Artículos4[[#This Row],[Proveedor (código)]]="","",VLOOKUP([2]!Artículos4[[#This Row],[Proveedor (código)]],[2]Proveedores!A:B,2,FALSE))</f>
        <v>#REF!</v>
      </c>
      <c r="D129" s="29" t="s">
        <v>215</v>
      </c>
      <c r="E129" s="29" t="s">
        <v>201</v>
      </c>
      <c r="F129" s="51"/>
      <c r="G129" s="14"/>
      <c r="H129" s="14"/>
      <c r="I129" s="14"/>
      <c r="J129" s="16">
        <f>SUMIFS(Entradas!G:G,Entradas!E:E,Artículos[[#This Row],[Código]])</f>
        <v>0</v>
      </c>
      <c r="K129" s="16">
        <f>SUMIFS(Salidas!G:G,Salidas!E:E,Artículos[[#This Row],[Código]])</f>
        <v>0</v>
      </c>
      <c r="L129" s="16">
        <f>Artículos[[#This Row],[Existencias iniciales]]+Artículos[[#This Row],[Entradas]]-Artículos[[#This Row],[Salidas]]</f>
        <v>0</v>
      </c>
      <c r="M129" s="16"/>
      <c r="N129" s="16"/>
    </row>
    <row r="130" spans="1:14" ht="14.4" hidden="1" customHeight="1" x14ac:dyDescent="0.3">
      <c r="A130" s="29" t="s">
        <v>899</v>
      </c>
      <c r="B130" s="15">
        <v>1</v>
      </c>
      <c r="C130" s="16" t="e">
        <f>IF([2]!Artículos4[[#This Row],[Proveedor (código)]]="","",VLOOKUP([2]!Artículos4[[#This Row],[Proveedor (código)]],[2]Proveedores!A:B,2,FALSE))</f>
        <v>#REF!</v>
      </c>
      <c r="D130" s="29" t="s">
        <v>216</v>
      </c>
      <c r="E130" s="29" t="s">
        <v>201</v>
      </c>
      <c r="F130" s="51"/>
      <c r="G130" s="14"/>
      <c r="H130" s="14"/>
      <c r="I130" s="14"/>
      <c r="J130" s="16">
        <f>SUMIFS(Entradas!G:G,Entradas!E:E,Artículos[[#This Row],[Código]])</f>
        <v>0</v>
      </c>
      <c r="K130" s="16">
        <f>SUMIFS(Salidas!G:G,Salidas!E:E,Artículos[[#This Row],[Código]])</f>
        <v>0</v>
      </c>
      <c r="L130" s="16">
        <f>Artículos[[#This Row],[Existencias iniciales]]+Artículos[[#This Row],[Entradas]]-Artículos[[#This Row],[Salidas]]</f>
        <v>0</v>
      </c>
      <c r="M130" s="16"/>
      <c r="N130" s="16"/>
    </row>
    <row r="131" spans="1:14" ht="14.4" hidden="1" customHeight="1" x14ac:dyDescent="0.3">
      <c r="A131" s="29" t="s">
        <v>900</v>
      </c>
      <c r="B131" s="15">
        <v>1</v>
      </c>
      <c r="C131" s="16" t="e">
        <f>IF([2]!Artículos4[[#This Row],[Proveedor (código)]]="","",VLOOKUP([2]!Artículos4[[#This Row],[Proveedor (código)]],[2]Proveedores!A:B,2,FALSE))</f>
        <v>#REF!</v>
      </c>
      <c r="D131" s="29" t="s">
        <v>217</v>
      </c>
      <c r="E131" s="29" t="s">
        <v>201</v>
      </c>
      <c r="F131" s="51"/>
      <c r="G131" s="14"/>
      <c r="H131" s="14"/>
      <c r="I131" s="14"/>
      <c r="J131" s="16">
        <f>SUMIFS(Entradas!G:G,Entradas!E:E,Artículos[[#This Row],[Código]])</f>
        <v>0</v>
      </c>
      <c r="K131" s="16">
        <f>SUMIFS(Salidas!G:G,Salidas!E:E,Artículos[[#This Row],[Código]])</f>
        <v>0</v>
      </c>
      <c r="L131" s="16">
        <f>Artículos[[#This Row],[Existencias iniciales]]+Artículos[[#This Row],[Entradas]]-Artículos[[#This Row],[Salidas]]</f>
        <v>0</v>
      </c>
      <c r="M131" s="16"/>
      <c r="N131" s="16"/>
    </row>
    <row r="132" spans="1:14" ht="14.4" hidden="1" customHeight="1" x14ac:dyDescent="0.3">
      <c r="A132" s="29" t="s">
        <v>901</v>
      </c>
      <c r="B132" s="15"/>
      <c r="C132" s="16" t="e">
        <f>IF([2]!Artículos4[[#This Row],[Proveedor (código)]]="","",VLOOKUP([2]!Artículos4[[#This Row],[Proveedor (código)]],[2]Proveedores!A:B,2,FALSE))</f>
        <v>#REF!</v>
      </c>
      <c r="D132" s="29" t="s">
        <v>218</v>
      </c>
      <c r="E132" s="29" t="s">
        <v>201</v>
      </c>
      <c r="F132" s="51"/>
      <c r="G132" s="14"/>
      <c r="H132" s="14"/>
      <c r="I132" s="14"/>
      <c r="J132" s="16">
        <f>SUMIFS(Entradas!G:G,Entradas!E:E,Artículos[[#This Row],[Código]])</f>
        <v>0</v>
      </c>
      <c r="K132" s="16">
        <f>SUMIFS(Salidas!G:G,Salidas!E:E,Artículos[[#This Row],[Código]])</f>
        <v>0</v>
      </c>
      <c r="L132" s="16">
        <f>Artículos[[#This Row],[Existencias iniciales]]+Artículos[[#This Row],[Entradas]]-Artículos[[#This Row],[Salidas]]</f>
        <v>0</v>
      </c>
      <c r="M132" s="16"/>
      <c r="N132" s="16"/>
    </row>
    <row r="133" spans="1:14" ht="14.4" hidden="1" customHeight="1" x14ac:dyDescent="0.3">
      <c r="A133" s="29" t="s">
        <v>902</v>
      </c>
      <c r="B133" s="15"/>
      <c r="C133" s="16" t="e">
        <f>IF([2]!Artículos4[[#This Row],[Proveedor (código)]]="","",VLOOKUP([2]!Artículos4[[#This Row],[Proveedor (código)]],[2]Proveedores!A:B,2,FALSE))</f>
        <v>#REF!</v>
      </c>
      <c r="D133" s="29" t="s">
        <v>219</v>
      </c>
      <c r="E133" s="29" t="s">
        <v>201</v>
      </c>
      <c r="F133" s="51"/>
      <c r="G133" s="14"/>
      <c r="H133" s="14"/>
      <c r="I133" s="14">
        <v>1</v>
      </c>
      <c r="J133" s="16">
        <f>SUMIFS(Entradas!G:G,Entradas!E:E,Artículos[[#This Row],[Código]])</f>
        <v>0</v>
      </c>
      <c r="K133" s="16">
        <f>SUMIFS(Salidas!G:G,Salidas!E:E,Artículos[[#This Row],[Código]])</f>
        <v>0</v>
      </c>
      <c r="L133" s="16">
        <f>Artículos[[#This Row],[Existencias iniciales]]+Artículos[[#This Row],[Entradas]]-Artículos[[#This Row],[Salidas]]</f>
        <v>1</v>
      </c>
      <c r="M133" s="16"/>
      <c r="N133" s="16"/>
    </row>
    <row r="134" spans="1:14" ht="14.4" hidden="1" customHeight="1" x14ac:dyDescent="0.3">
      <c r="A134" s="29" t="s">
        <v>903</v>
      </c>
      <c r="B134" s="15">
        <v>1</v>
      </c>
      <c r="C134" s="16" t="e">
        <f>IF([2]!Artículos4[[#This Row],[Proveedor (código)]]="","",VLOOKUP([2]!Artículos4[[#This Row],[Proveedor (código)]],[2]Proveedores!A:B,2,FALSE))</f>
        <v>#REF!</v>
      </c>
      <c r="D134" s="29" t="s">
        <v>220</v>
      </c>
      <c r="E134" s="29" t="s">
        <v>201</v>
      </c>
      <c r="F134" s="51"/>
      <c r="G134" s="14"/>
      <c r="H134" s="14"/>
      <c r="I134" s="14"/>
      <c r="J134" s="16">
        <f>SUMIFS(Entradas!G:G,Entradas!E:E,Artículos[[#This Row],[Código]])</f>
        <v>0</v>
      </c>
      <c r="K134" s="16">
        <f>SUMIFS(Salidas!G:G,Salidas!E:E,Artículos[[#This Row],[Código]])</f>
        <v>0</v>
      </c>
      <c r="L134" s="16">
        <f>Artículos[[#This Row],[Existencias iniciales]]+Artículos[[#This Row],[Entradas]]-Artículos[[#This Row],[Salidas]]</f>
        <v>0</v>
      </c>
      <c r="M134" s="16"/>
      <c r="N134" s="16"/>
    </row>
    <row r="135" spans="1:14" ht="14.4" hidden="1" customHeight="1" x14ac:dyDescent="0.3">
      <c r="A135" s="29" t="s">
        <v>904</v>
      </c>
      <c r="B135" s="15"/>
      <c r="C135" s="16" t="e">
        <f>IF([2]!Artículos4[[#This Row],[Proveedor (código)]]="","",VLOOKUP([2]!Artículos4[[#This Row],[Proveedor (código)]],[2]Proveedores!A:B,2,FALSE))</f>
        <v>#REF!</v>
      </c>
      <c r="D135" s="29" t="s">
        <v>221</v>
      </c>
      <c r="E135" s="29" t="s">
        <v>201</v>
      </c>
      <c r="F135" s="51"/>
      <c r="G135" s="14"/>
      <c r="H135" s="14"/>
      <c r="I135" s="14"/>
      <c r="J135" s="16">
        <f>SUMIFS(Entradas!G:G,Entradas!E:E,Artículos[[#This Row],[Código]])</f>
        <v>0</v>
      </c>
      <c r="K135" s="16">
        <f>SUMIFS(Salidas!G:G,Salidas!E:E,Artículos[[#This Row],[Código]])</f>
        <v>0</v>
      </c>
      <c r="L135" s="16">
        <f>Artículos[[#This Row],[Existencias iniciales]]+Artículos[[#This Row],[Entradas]]-Artículos[[#This Row],[Salidas]]</f>
        <v>0</v>
      </c>
      <c r="M135" s="16"/>
      <c r="N135" s="16"/>
    </row>
    <row r="136" spans="1:14" ht="14.4" hidden="1" customHeight="1" x14ac:dyDescent="0.3">
      <c r="A136" s="29" t="s">
        <v>905</v>
      </c>
      <c r="B136" s="15">
        <v>1</v>
      </c>
      <c r="C136" s="16" t="e">
        <f>IF([2]!Artículos4[[#This Row],[Proveedor (código)]]="","",VLOOKUP([2]!Artículos4[[#This Row],[Proveedor (código)]],[2]Proveedores!A:B,2,FALSE))</f>
        <v>#REF!</v>
      </c>
      <c r="D136" s="29" t="s">
        <v>222</v>
      </c>
      <c r="E136" s="29" t="s">
        <v>201</v>
      </c>
      <c r="F136" s="51"/>
      <c r="G136" s="14"/>
      <c r="H136" s="14"/>
      <c r="I136" s="14"/>
      <c r="J136" s="16">
        <f>SUMIFS(Entradas!G:G,Entradas!E:E,Artículos[[#This Row],[Código]])</f>
        <v>0</v>
      </c>
      <c r="K136" s="16">
        <f>SUMIFS(Salidas!G:G,Salidas!E:E,Artículos[[#This Row],[Código]])</f>
        <v>0</v>
      </c>
      <c r="L136" s="16">
        <f>Artículos[[#This Row],[Existencias iniciales]]+Artículos[[#This Row],[Entradas]]-Artículos[[#This Row],[Salidas]]</f>
        <v>0</v>
      </c>
      <c r="M136" s="16"/>
      <c r="N136" s="16"/>
    </row>
    <row r="137" spans="1:14" ht="14.4" hidden="1" customHeight="1" x14ac:dyDescent="0.3">
      <c r="A137" s="29" t="s">
        <v>906</v>
      </c>
      <c r="B137" s="15">
        <v>1</v>
      </c>
      <c r="C137" s="16" t="e">
        <f>IF([2]!Artículos4[[#This Row],[Proveedor (código)]]="","",VLOOKUP([2]!Artículos4[[#This Row],[Proveedor (código)]],[2]Proveedores!A:B,2,FALSE))</f>
        <v>#REF!</v>
      </c>
      <c r="D137" s="29" t="s">
        <v>223</v>
      </c>
      <c r="E137" s="29" t="s">
        <v>201</v>
      </c>
      <c r="F137" s="51"/>
      <c r="G137" s="14"/>
      <c r="H137" s="14"/>
      <c r="I137" s="14"/>
      <c r="J137" s="16">
        <f>SUMIFS(Entradas!G:G,Entradas!E:E,Artículos[[#This Row],[Código]])</f>
        <v>0</v>
      </c>
      <c r="K137" s="16">
        <f>SUMIFS(Salidas!G:G,Salidas!E:E,Artículos[[#This Row],[Código]])</f>
        <v>0</v>
      </c>
      <c r="L137" s="16">
        <f>Artículos[[#This Row],[Existencias iniciales]]+Artículos[[#This Row],[Entradas]]-Artículos[[#This Row],[Salidas]]</f>
        <v>0</v>
      </c>
      <c r="M137" s="16"/>
      <c r="N137" s="16"/>
    </row>
    <row r="138" spans="1:14" ht="14.4" hidden="1" customHeight="1" x14ac:dyDescent="0.3">
      <c r="A138" s="29" t="s">
        <v>907</v>
      </c>
      <c r="B138" s="15">
        <v>1</v>
      </c>
      <c r="C138" s="16" t="e">
        <f>IF([2]!Artículos4[[#This Row],[Proveedor (código)]]="","",VLOOKUP([2]!Artículos4[[#This Row],[Proveedor (código)]],[2]Proveedores!A:B,2,FALSE))</f>
        <v>#REF!</v>
      </c>
      <c r="D138" s="29" t="s">
        <v>224</v>
      </c>
      <c r="E138" s="29" t="s">
        <v>201</v>
      </c>
      <c r="F138" s="51"/>
      <c r="G138" s="14"/>
      <c r="H138" s="14"/>
      <c r="I138" s="38"/>
      <c r="J138" s="16">
        <f>SUMIFS(Entradas!G:G,Entradas!E:E,Artículos[[#This Row],[Código]])</f>
        <v>0</v>
      </c>
      <c r="K138" s="16">
        <f>SUMIFS(Salidas!G:G,Salidas!E:E,Artículos[[#This Row],[Código]])</f>
        <v>0</v>
      </c>
      <c r="L138" s="16">
        <f>Artículos[[#This Row],[Existencias iniciales]]+Artículos[[#This Row],[Entradas]]-Artículos[[#This Row],[Salidas]]</f>
        <v>0</v>
      </c>
      <c r="M138" s="16"/>
      <c r="N138" s="16"/>
    </row>
    <row r="139" spans="1:14" ht="14.4" hidden="1" customHeight="1" x14ac:dyDescent="0.3">
      <c r="A139" s="29" t="s">
        <v>908</v>
      </c>
      <c r="B139" s="15">
        <v>1</v>
      </c>
      <c r="C139" s="16" t="e">
        <f>IF([2]!Artículos4[[#This Row],[Proveedor (código)]]="","",VLOOKUP([2]!Artículos4[[#This Row],[Proveedor (código)]],[2]Proveedores!A:B,2,FALSE))</f>
        <v>#REF!</v>
      </c>
      <c r="D139" s="29" t="s">
        <v>225</v>
      </c>
      <c r="E139" s="29" t="s">
        <v>201</v>
      </c>
      <c r="F139" s="51"/>
      <c r="G139" s="14"/>
      <c r="H139" s="14"/>
      <c r="I139" s="38">
        <v>3</v>
      </c>
      <c r="J139" s="16">
        <f>SUMIFS(Entradas!G:G,Entradas!E:E,Artículos[[#This Row],[Código]])</f>
        <v>0</v>
      </c>
      <c r="K139" s="16">
        <f>SUMIFS(Salidas!G:G,Salidas!E:E,Artículos[[#This Row],[Código]])</f>
        <v>0</v>
      </c>
      <c r="L139" s="16">
        <f>Artículos[[#This Row],[Existencias iniciales]]+Artículos[[#This Row],[Entradas]]-Artículos[[#This Row],[Salidas]]</f>
        <v>3</v>
      </c>
      <c r="M139" s="16"/>
      <c r="N139" s="16"/>
    </row>
    <row r="140" spans="1:14" ht="14.4" hidden="1" customHeight="1" x14ac:dyDescent="0.3">
      <c r="A140" s="29" t="s">
        <v>909</v>
      </c>
      <c r="B140" s="15">
        <v>1</v>
      </c>
      <c r="C140" s="16" t="e">
        <f>IF([2]!Artículos4[[#This Row],[Proveedor (código)]]="","",VLOOKUP([2]!Artículos4[[#This Row],[Proveedor (código)]],[2]Proveedores!A:B,2,FALSE))</f>
        <v>#REF!</v>
      </c>
      <c r="D140" s="29" t="s">
        <v>226</v>
      </c>
      <c r="E140" s="29" t="s">
        <v>201</v>
      </c>
      <c r="F140" s="51"/>
      <c r="G140" s="14"/>
      <c r="H140" s="14"/>
      <c r="I140" s="38"/>
      <c r="J140" s="16">
        <f>SUMIFS(Entradas!G:G,Entradas!E:E,Artículos[[#This Row],[Código]])</f>
        <v>0</v>
      </c>
      <c r="K140" s="16">
        <f>SUMIFS(Salidas!G:G,Salidas!E:E,Artículos[[#This Row],[Código]])</f>
        <v>0</v>
      </c>
      <c r="L140" s="16">
        <f>Artículos[[#This Row],[Existencias iniciales]]+Artículos[[#This Row],[Entradas]]-Artículos[[#This Row],[Salidas]]</f>
        <v>0</v>
      </c>
      <c r="M140" s="16"/>
      <c r="N140" s="16"/>
    </row>
    <row r="141" spans="1:14" ht="14.4" hidden="1" customHeight="1" x14ac:dyDescent="0.3">
      <c r="A141" s="29" t="s">
        <v>910</v>
      </c>
      <c r="B141" s="15"/>
      <c r="C141" s="16" t="e">
        <f>IF([2]!Artículos4[[#This Row],[Proveedor (código)]]="","",VLOOKUP([2]!Artículos4[[#This Row],[Proveedor (código)]],[2]Proveedores!A:B,2,FALSE))</f>
        <v>#REF!</v>
      </c>
      <c r="D141" s="29" t="s">
        <v>227</v>
      </c>
      <c r="E141" s="29" t="s">
        <v>201</v>
      </c>
      <c r="F141" s="51"/>
      <c r="G141" s="14"/>
      <c r="H141" s="14"/>
      <c r="I141" s="38"/>
      <c r="J141" s="16">
        <f>SUMIFS(Entradas!G:G,Entradas!E:E,Artículos[[#This Row],[Código]])</f>
        <v>0</v>
      </c>
      <c r="K141" s="16">
        <f>SUMIFS(Salidas!G:G,Salidas!E:E,Artículos[[#This Row],[Código]])</f>
        <v>0</v>
      </c>
      <c r="L141" s="16">
        <f>Artículos[[#This Row],[Existencias iniciales]]+Artículos[[#This Row],[Entradas]]-Artículos[[#This Row],[Salidas]]</f>
        <v>0</v>
      </c>
      <c r="M141" s="16"/>
      <c r="N141" s="16"/>
    </row>
    <row r="142" spans="1:14" ht="14.4" hidden="1" customHeight="1" x14ac:dyDescent="0.3">
      <c r="A142" s="29" t="s">
        <v>911</v>
      </c>
      <c r="B142" s="15"/>
      <c r="C142" s="16" t="e">
        <f>IF([2]!Artículos4[[#This Row],[Proveedor (código)]]="","",VLOOKUP([2]!Artículos4[[#This Row],[Proveedor (código)]],[2]Proveedores!A:B,2,FALSE))</f>
        <v>#REF!</v>
      </c>
      <c r="D142" s="29" t="s">
        <v>228</v>
      </c>
      <c r="E142" s="29" t="s">
        <v>201</v>
      </c>
      <c r="F142" s="51"/>
      <c r="G142" s="14"/>
      <c r="H142" s="14"/>
      <c r="I142" s="38"/>
      <c r="J142" s="16">
        <f>SUMIFS(Entradas!G:G,Entradas!E:E,Artículos[[#This Row],[Código]])</f>
        <v>0</v>
      </c>
      <c r="K142" s="16">
        <f>SUMIFS(Salidas!G:G,Salidas!E:E,Artículos[[#This Row],[Código]])</f>
        <v>0</v>
      </c>
      <c r="L142" s="16">
        <f>Artículos[[#This Row],[Existencias iniciales]]+Artículos[[#This Row],[Entradas]]-Artículos[[#This Row],[Salidas]]</f>
        <v>0</v>
      </c>
      <c r="M142" s="16"/>
      <c r="N142" s="16"/>
    </row>
    <row r="143" spans="1:14" ht="14.4" hidden="1" customHeight="1" x14ac:dyDescent="0.3">
      <c r="A143" s="29" t="s">
        <v>912</v>
      </c>
      <c r="B143" s="15"/>
      <c r="C143" s="16" t="e">
        <f>IF([2]!Artículos4[[#This Row],[Proveedor (código)]]="","",VLOOKUP([2]!Artículos4[[#This Row],[Proveedor (código)]],[2]Proveedores!A:B,2,FALSE))</f>
        <v>#REF!</v>
      </c>
      <c r="D143" s="29"/>
      <c r="E143" s="29" t="s">
        <v>201</v>
      </c>
      <c r="F143" s="51"/>
      <c r="G143" s="14"/>
      <c r="H143" s="14"/>
      <c r="I143" s="38"/>
      <c r="J143" s="16">
        <f>SUMIFS(Entradas!G:G,Entradas!E:E,Artículos[[#This Row],[Código]])</f>
        <v>0</v>
      </c>
      <c r="K143" s="16">
        <f>SUMIFS(Salidas!G:G,Salidas!E:E,Artículos[[#This Row],[Código]])</f>
        <v>0</v>
      </c>
      <c r="L143" s="16">
        <f>Artículos[[#This Row],[Existencias iniciales]]+Artículos[[#This Row],[Entradas]]-Artículos[[#This Row],[Salidas]]</f>
        <v>0</v>
      </c>
      <c r="M143" s="16"/>
      <c r="N143" s="16"/>
    </row>
    <row r="144" spans="1:14" ht="14.4" hidden="1" customHeight="1" x14ac:dyDescent="0.3">
      <c r="A144" s="29" t="s">
        <v>913</v>
      </c>
      <c r="B144" s="15"/>
      <c r="C144" s="16" t="e">
        <f>IF([2]!Artículos4[[#This Row],[Proveedor (código)]]="","",VLOOKUP([2]!Artículos4[[#This Row],[Proveedor (código)]],[2]Proveedores!A:B,2,FALSE))</f>
        <v>#REF!</v>
      </c>
      <c r="D144" s="29"/>
      <c r="E144" s="29" t="s">
        <v>201</v>
      </c>
      <c r="F144" s="51"/>
      <c r="G144" s="14"/>
      <c r="H144" s="14"/>
      <c r="I144" s="38"/>
      <c r="J144" s="16">
        <f>SUMIFS(Entradas!G:G,Entradas!E:E,Artículos[[#This Row],[Código]])</f>
        <v>0</v>
      </c>
      <c r="K144" s="16">
        <f>SUMIFS(Salidas!G:G,Salidas!E:E,Artículos[[#This Row],[Código]])</f>
        <v>0</v>
      </c>
      <c r="L144" s="16">
        <f>Artículos[[#This Row],[Existencias iniciales]]+Artículos[[#This Row],[Entradas]]-Artículos[[#This Row],[Salidas]]</f>
        <v>0</v>
      </c>
      <c r="M144" s="16"/>
      <c r="N144" s="16"/>
    </row>
    <row r="145" spans="1:14" ht="14.4" hidden="1" customHeight="1" x14ac:dyDescent="0.3">
      <c r="A145" s="29" t="s">
        <v>785</v>
      </c>
      <c r="B145" s="15"/>
      <c r="C145" s="16"/>
      <c r="D145" s="29" t="s">
        <v>42</v>
      </c>
      <c r="E145" s="29" t="s">
        <v>229</v>
      </c>
      <c r="F145" s="51"/>
      <c r="G145" s="14"/>
      <c r="H145" s="14"/>
      <c r="I145" s="38">
        <v>117</v>
      </c>
      <c r="J145" s="16">
        <f>SUMIFS(Entradas!G:G,Entradas!E:E,Artículos[[#This Row],[Código]])</f>
        <v>0</v>
      </c>
      <c r="K145" s="16">
        <f>SUMIFS(Salidas!G:G,Salidas!E:E,Artículos[[#This Row],[Código]])</f>
        <v>0</v>
      </c>
      <c r="L145" s="16">
        <f>Artículos[[#This Row],[Existencias iniciales]]+Artículos[[#This Row],[Entradas]]-Artículos[[#This Row],[Salidas]]</f>
        <v>117</v>
      </c>
      <c r="M145" s="16"/>
      <c r="N145" s="16"/>
    </row>
    <row r="146" spans="1:14" ht="14.4" hidden="1" customHeight="1" x14ac:dyDescent="0.3">
      <c r="A146" s="29" t="s">
        <v>786</v>
      </c>
      <c r="B146" s="15"/>
      <c r="C146" s="16" t="e">
        <f>IF([2]!Artículos4[[#This Row],[Proveedor (código)]]="","",VLOOKUP([2]!Artículos4[[#This Row],[Proveedor (código)]],[2]Proveedores!A:B,2,FALSE))</f>
        <v>#REF!</v>
      </c>
      <c r="D146" s="29" t="s">
        <v>230</v>
      </c>
      <c r="E146" s="29" t="s">
        <v>229</v>
      </c>
      <c r="F146" s="51"/>
      <c r="G146" s="14"/>
      <c r="H146" s="14"/>
      <c r="I146" s="14">
        <v>9</v>
      </c>
      <c r="J146" s="16">
        <f>SUMIFS(Entradas!G:G,Entradas!E:E,Artículos[[#This Row],[Código]])</f>
        <v>0</v>
      </c>
      <c r="K146" s="16">
        <f>SUMIFS(Salidas!G:G,Salidas!E:E,Artículos[[#This Row],[Código]])</f>
        <v>0</v>
      </c>
      <c r="L146" s="16">
        <f>Artículos[[#This Row],[Existencias iniciales]]+Artículos[[#This Row],[Entradas]]-Artículos[[#This Row],[Salidas]]</f>
        <v>9</v>
      </c>
      <c r="M146" s="16"/>
      <c r="N146" s="16"/>
    </row>
    <row r="147" spans="1:14" ht="14.4" hidden="1" customHeight="1" x14ac:dyDescent="0.3">
      <c r="A147" s="29" t="s">
        <v>787</v>
      </c>
      <c r="B147" s="15"/>
      <c r="C147" s="16" t="e">
        <f>IF([2]!Artículos4[[#This Row],[Proveedor (código)]]="","",VLOOKUP([2]!Artículos4[[#This Row],[Proveedor (código)]],[2]Proveedores!A:B,2,FALSE))</f>
        <v>#REF!</v>
      </c>
      <c r="D147" s="29" t="s">
        <v>231</v>
      </c>
      <c r="E147" s="29" t="s">
        <v>229</v>
      </c>
      <c r="F147" s="51"/>
      <c r="G147" s="14"/>
      <c r="H147" s="14"/>
      <c r="I147" s="14">
        <v>3</v>
      </c>
      <c r="J147" s="16">
        <f>SUMIFS(Entradas!G:G,Entradas!E:E,Artículos[[#This Row],[Código]])</f>
        <v>0</v>
      </c>
      <c r="K147" s="16">
        <f>SUMIFS(Salidas!G:G,Salidas!E:E,Artículos[[#This Row],[Código]])</f>
        <v>0</v>
      </c>
      <c r="L147" s="16">
        <f>Artículos[[#This Row],[Existencias iniciales]]+Artículos[[#This Row],[Entradas]]-Artículos[[#This Row],[Salidas]]</f>
        <v>3</v>
      </c>
      <c r="M147" s="16"/>
      <c r="N147" s="16"/>
    </row>
    <row r="148" spans="1:14" ht="14.4" hidden="1" customHeight="1" x14ac:dyDescent="0.3">
      <c r="A148" s="29" t="s">
        <v>789</v>
      </c>
      <c r="B148" s="15"/>
      <c r="C148" s="16" t="e">
        <f>IF([2]!Artículos4[[#This Row],[Proveedor (código)]]="","",VLOOKUP([2]!Artículos4[[#This Row],[Proveedor (código)]],[2]Proveedores!A:B,2,FALSE))</f>
        <v>#REF!</v>
      </c>
      <c r="D148" s="29" t="s">
        <v>232</v>
      </c>
      <c r="E148" s="29" t="s">
        <v>229</v>
      </c>
      <c r="F148" s="51"/>
      <c r="G148" s="14"/>
      <c r="H148" s="14"/>
      <c r="I148" s="14"/>
      <c r="J148" s="16">
        <f>SUMIFS(Entradas!G:G,Entradas!E:E,Artículos[[#This Row],[Código]])</f>
        <v>0</v>
      </c>
      <c r="K148" s="16">
        <f>SUMIFS(Salidas!G:G,Salidas!E:E,Artículos[[#This Row],[Código]])</f>
        <v>0</v>
      </c>
      <c r="L148" s="16">
        <f>Artículos[[#This Row],[Existencias iniciales]]+Artículos[[#This Row],[Entradas]]-Artículos[[#This Row],[Salidas]]</f>
        <v>0</v>
      </c>
      <c r="M148" s="16"/>
      <c r="N148" s="16"/>
    </row>
    <row r="149" spans="1:14" ht="14.4" hidden="1" customHeight="1" x14ac:dyDescent="0.3">
      <c r="A149" s="29" t="s">
        <v>788</v>
      </c>
      <c r="B149" s="15"/>
      <c r="C149" s="16" t="e">
        <f>IF([2]!Artículos4[[#This Row],[Proveedor (código)]]="","",VLOOKUP([2]!Artículos4[[#This Row],[Proveedor (código)]],[2]Proveedores!A:B,2,FALSE))</f>
        <v>#REF!</v>
      </c>
      <c r="D149" s="29" t="s">
        <v>233</v>
      </c>
      <c r="E149" s="29" t="s">
        <v>229</v>
      </c>
      <c r="F149" s="51">
        <v>7.75</v>
      </c>
      <c r="G149" s="14"/>
      <c r="H149" s="14"/>
      <c r="I149" s="14">
        <v>22</v>
      </c>
      <c r="J149" s="16">
        <f>SUMIFS(Entradas!G:G,Entradas!E:E,Artículos[[#This Row],[Código]])</f>
        <v>5</v>
      </c>
      <c r="K149" s="16">
        <f>SUMIFS(Salidas!G:G,Salidas!E:E,Artículos[[#This Row],[Código]])</f>
        <v>68.5</v>
      </c>
      <c r="L149" s="16">
        <f>Artículos[[#This Row],[Existencias iniciales]]+Artículos[[#This Row],[Entradas]]-Artículos[[#This Row],[Salidas]]</f>
        <v>-41.5</v>
      </c>
      <c r="M149" s="16"/>
      <c r="N149" s="16"/>
    </row>
    <row r="150" spans="1:14" ht="14.4" hidden="1" customHeight="1" x14ac:dyDescent="0.3">
      <c r="A150" s="29" t="s">
        <v>790</v>
      </c>
      <c r="B150" s="15"/>
      <c r="C150" s="16" t="e">
        <f>IF([2]!Artículos4[[#This Row],[Proveedor (código)]]="","",VLOOKUP([2]!Artículos4[[#This Row],[Proveedor (código)]],[2]Proveedores!A:B,2,FALSE))</f>
        <v>#REF!</v>
      </c>
      <c r="D150" s="29" t="s">
        <v>234</v>
      </c>
      <c r="E150" s="29" t="s">
        <v>229</v>
      </c>
      <c r="F150" s="51"/>
      <c r="G150" s="14"/>
      <c r="H150" s="14"/>
      <c r="I150" s="14">
        <v>5</v>
      </c>
      <c r="J150" s="16">
        <f>SUMIFS(Entradas!G:G,Entradas!E:E,Artículos[[#This Row],[Código]])</f>
        <v>0</v>
      </c>
      <c r="K150" s="16">
        <f>SUMIFS(Salidas!G:G,Salidas!E:E,Artículos[[#This Row],[Código]])</f>
        <v>0</v>
      </c>
      <c r="L150" s="16">
        <f>Artículos[[#This Row],[Existencias iniciales]]+Artículos[[#This Row],[Entradas]]-Artículos[[#This Row],[Salidas]]</f>
        <v>5</v>
      </c>
      <c r="M150" s="16"/>
      <c r="N150" s="16"/>
    </row>
    <row r="151" spans="1:14" ht="14.4" hidden="1" customHeight="1" x14ac:dyDescent="0.3">
      <c r="A151" s="29" t="s">
        <v>791</v>
      </c>
      <c r="B151" s="15"/>
      <c r="C151" s="16" t="e">
        <f>IF([2]!Artículos4[[#This Row],[Proveedor (código)]]="","",VLOOKUP([2]!Artículos4[[#This Row],[Proveedor (código)]],[2]Proveedores!A:B,2,FALSE))</f>
        <v>#REF!</v>
      </c>
      <c r="D151" s="29" t="s">
        <v>235</v>
      </c>
      <c r="E151" s="29" t="s">
        <v>229</v>
      </c>
      <c r="F151" s="51"/>
      <c r="G151" s="14"/>
      <c r="H151" s="14"/>
      <c r="I151" s="14">
        <v>7</v>
      </c>
      <c r="J151" s="16">
        <f>SUMIFS(Entradas!G:G,Entradas!E:E,Artículos[[#This Row],[Código]])</f>
        <v>0</v>
      </c>
      <c r="K151" s="16">
        <f>SUMIFS(Salidas!G:G,Salidas!E:E,Artículos[[#This Row],[Código]])</f>
        <v>0</v>
      </c>
      <c r="L151" s="16">
        <f>Artículos[[#This Row],[Existencias iniciales]]+Artículos[[#This Row],[Entradas]]-Artículos[[#This Row],[Salidas]]</f>
        <v>7</v>
      </c>
      <c r="M151" s="16"/>
      <c r="N151" s="16"/>
    </row>
    <row r="152" spans="1:14" ht="14.4" hidden="1" customHeight="1" x14ac:dyDescent="0.3">
      <c r="A152" s="29" t="s">
        <v>792</v>
      </c>
      <c r="B152" s="15"/>
      <c r="C152" s="16" t="e">
        <f>IF([2]!Artículos4[[#This Row],[Proveedor (código)]]="","",VLOOKUP([2]!Artículos4[[#This Row],[Proveedor (código)]],[2]Proveedores!A:B,2,FALSE))</f>
        <v>#REF!</v>
      </c>
      <c r="D152" s="29" t="s">
        <v>236</v>
      </c>
      <c r="E152" s="29" t="s">
        <v>229</v>
      </c>
      <c r="F152" s="51"/>
      <c r="G152" s="14"/>
      <c r="H152" s="14"/>
      <c r="I152" s="14"/>
      <c r="J152" s="16">
        <f>SUMIFS(Entradas!G:G,Entradas!E:E,Artículos[[#This Row],[Código]])</f>
        <v>0</v>
      </c>
      <c r="K152" s="16">
        <f>SUMIFS(Salidas!G:G,Salidas!E:E,Artículos[[#This Row],[Código]])</f>
        <v>0</v>
      </c>
      <c r="L152" s="16">
        <f>Artículos[[#This Row],[Existencias iniciales]]+Artículos[[#This Row],[Entradas]]-Artículos[[#This Row],[Salidas]]</f>
        <v>0</v>
      </c>
      <c r="M152" s="16"/>
      <c r="N152" s="16"/>
    </row>
    <row r="153" spans="1:14" ht="14.4" hidden="1" customHeight="1" x14ac:dyDescent="0.3">
      <c r="A153" s="29" t="s">
        <v>793</v>
      </c>
      <c r="B153" s="15"/>
      <c r="C153" s="16" t="e">
        <f>IF([2]!Artículos4[[#This Row],[Proveedor (código)]]="","",VLOOKUP([2]!Artículos4[[#This Row],[Proveedor (código)]],[2]Proveedores!A:B,2,FALSE))</f>
        <v>#REF!</v>
      </c>
      <c r="D153" s="29" t="s">
        <v>237</v>
      </c>
      <c r="E153" s="29" t="s">
        <v>229</v>
      </c>
      <c r="F153" s="51"/>
      <c r="G153" s="14"/>
      <c r="H153" s="14"/>
      <c r="I153" s="14"/>
      <c r="J153" s="16">
        <f>SUMIFS(Entradas!G:G,Entradas!E:E,Artículos[[#This Row],[Código]])</f>
        <v>0</v>
      </c>
      <c r="K153" s="16">
        <f>SUMIFS(Salidas!G:G,Salidas!E:E,Artículos[[#This Row],[Código]])</f>
        <v>0</v>
      </c>
      <c r="L153" s="16">
        <f>Artículos[[#This Row],[Existencias iniciales]]+Artículos[[#This Row],[Entradas]]-Artículos[[#This Row],[Salidas]]</f>
        <v>0</v>
      </c>
      <c r="M153" s="16"/>
      <c r="N153" s="16"/>
    </row>
    <row r="154" spans="1:14" ht="14.4" hidden="1" customHeight="1" x14ac:dyDescent="0.3">
      <c r="A154" s="29" t="s">
        <v>794</v>
      </c>
      <c r="B154" s="15"/>
      <c r="C154" s="16" t="e">
        <f>IF([2]!Artículos4[[#This Row],[Proveedor (código)]]="","",VLOOKUP([2]!Artículos4[[#This Row],[Proveedor (código)]],[2]Proveedores!A:B,2,FALSE))</f>
        <v>#REF!</v>
      </c>
      <c r="D154" s="29" t="s">
        <v>238</v>
      </c>
      <c r="E154" s="29" t="s">
        <v>229</v>
      </c>
      <c r="F154" s="51"/>
      <c r="G154" s="14"/>
      <c r="H154" s="14"/>
      <c r="I154" s="14"/>
      <c r="J154" s="16">
        <f>SUMIFS(Entradas!G:G,Entradas!E:E,Artículos[[#This Row],[Código]])</f>
        <v>0</v>
      </c>
      <c r="K154" s="16">
        <f>SUMIFS(Salidas!G:G,Salidas!E:E,Artículos[[#This Row],[Código]])</f>
        <v>0</v>
      </c>
      <c r="L154" s="16">
        <f>Artículos[[#This Row],[Existencias iniciales]]+Artículos[[#This Row],[Entradas]]-Artículos[[#This Row],[Salidas]]</f>
        <v>0</v>
      </c>
      <c r="M154" s="16"/>
      <c r="N154" s="16"/>
    </row>
    <row r="155" spans="1:14" ht="14.4" hidden="1" customHeight="1" x14ac:dyDescent="0.3">
      <c r="A155" s="29" t="s">
        <v>795</v>
      </c>
      <c r="B155" s="15"/>
      <c r="C155" s="16" t="e">
        <f>IF([2]!Artículos4[[#This Row],[Proveedor (código)]]="","",VLOOKUP([2]!Artículos4[[#This Row],[Proveedor (código)]],[2]Proveedores!A:B,2,FALSE))</f>
        <v>#REF!</v>
      </c>
      <c r="D155" s="29" t="s">
        <v>239</v>
      </c>
      <c r="E155" s="29" t="s">
        <v>229</v>
      </c>
      <c r="F155" s="51"/>
      <c r="G155" s="14"/>
      <c r="H155" s="14"/>
      <c r="I155" s="14"/>
      <c r="J155" s="16">
        <f>SUMIFS(Entradas!G:G,Entradas!E:E,Artículos[[#This Row],[Código]])</f>
        <v>0</v>
      </c>
      <c r="K155" s="16">
        <f>SUMIFS(Salidas!G:G,Salidas!E:E,Artículos[[#This Row],[Código]])</f>
        <v>0</v>
      </c>
      <c r="L155" s="16">
        <f>Artículos[[#This Row],[Existencias iniciales]]+Artículos[[#This Row],[Entradas]]-Artículos[[#This Row],[Salidas]]</f>
        <v>0</v>
      </c>
      <c r="M155" s="16"/>
      <c r="N155" s="16"/>
    </row>
    <row r="156" spans="1:14" ht="14.4" hidden="1" customHeight="1" x14ac:dyDescent="0.3">
      <c r="A156" s="29" t="s">
        <v>796</v>
      </c>
      <c r="B156" s="15"/>
      <c r="C156" s="16" t="e">
        <f>IF([2]!Artículos4[[#This Row],[Proveedor (código)]]="","",VLOOKUP([2]!Artículos4[[#This Row],[Proveedor (código)]],[2]Proveedores!A:B,2,FALSE))</f>
        <v>#REF!</v>
      </c>
      <c r="D156" s="29" t="s">
        <v>240</v>
      </c>
      <c r="E156" s="29" t="s">
        <v>229</v>
      </c>
      <c r="F156" s="51"/>
      <c r="G156" s="14"/>
      <c r="H156" s="14"/>
      <c r="I156" s="14"/>
      <c r="J156" s="16">
        <f>SUMIFS(Entradas!G:G,Entradas!E:E,Artículos[[#This Row],[Código]])</f>
        <v>0</v>
      </c>
      <c r="K156" s="16">
        <f>SUMIFS(Salidas!G:G,Salidas!E:E,Artículos[[#This Row],[Código]])</f>
        <v>0</v>
      </c>
      <c r="L156" s="16">
        <f>Artículos[[#This Row],[Existencias iniciales]]+Artículos[[#This Row],[Entradas]]-Artículos[[#This Row],[Salidas]]</f>
        <v>0</v>
      </c>
      <c r="M156" s="16"/>
      <c r="N156" s="16"/>
    </row>
    <row r="157" spans="1:14" ht="14.4" hidden="1" customHeight="1" x14ac:dyDescent="0.3">
      <c r="A157" s="29" t="s">
        <v>797</v>
      </c>
      <c r="B157" s="15"/>
      <c r="C157" s="16" t="e">
        <f>IF([2]!Artículos4[[#This Row],[Proveedor (código)]]="","",VLOOKUP([2]!Artículos4[[#This Row],[Proveedor (código)]],[2]Proveedores!A:B,2,FALSE))</f>
        <v>#REF!</v>
      </c>
      <c r="D157" s="29" t="s">
        <v>241</v>
      </c>
      <c r="E157" s="29" t="s">
        <v>229</v>
      </c>
      <c r="F157" s="51"/>
      <c r="G157" s="14"/>
      <c r="H157" s="14"/>
      <c r="I157" s="14"/>
      <c r="J157" s="16">
        <f>SUMIFS(Entradas!G:G,Entradas!E:E,Artículos[[#This Row],[Código]])</f>
        <v>0</v>
      </c>
      <c r="K157" s="16">
        <f>SUMIFS(Salidas!G:G,Salidas!E:E,Artículos[[#This Row],[Código]])</f>
        <v>0</v>
      </c>
      <c r="L157" s="16">
        <f>Artículos[[#This Row],[Existencias iniciales]]+Artículos[[#This Row],[Entradas]]-Artículos[[#This Row],[Salidas]]</f>
        <v>0</v>
      </c>
      <c r="M157" s="16"/>
      <c r="N157" s="16"/>
    </row>
    <row r="158" spans="1:14" ht="14.4" hidden="1" customHeight="1" x14ac:dyDescent="0.3">
      <c r="A158" s="29" t="s">
        <v>798</v>
      </c>
      <c r="B158" s="15"/>
      <c r="C158" s="16" t="e">
        <f>IF([2]!Artículos4[[#This Row],[Proveedor (código)]]="","",VLOOKUP([2]!Artículos4[[#This Row],[Proveedor (código)]],[2]Proveedores!A:B,2,FALSE))</f>
        <v>#REF!</v>
      </c>
      <c r="D158" s="29" t="s">
        <v>242</v>
      </c>
      <c r="E158" s="29" t="s">
        <v>229</v>
      </c>
      <c r="F158" s="51"/>
      <c r="G158" s="14"/>
      <c r="H158" s="14"/>
      <c r="I158" s="14">
        <v>4</v>
      </c>
      <c r="J158" s="16">
        <f>SUMIFS(Entradas!G:G,Entradas!E:E,Artículos[[#This Row],[Código]])</f>
        <v>0</v>
      </c>
      <c r="K158" s="16">
        <f>SUMIFS(Salidas!G:G,Salidas!E:E,Artículos[[#This Row],[Código]])</f>
        <v>0</v>
      </c>
      <c r="L158" s="16">
        <f>Artículos[[#This Row],[Existencias iniciales]]+Artículos[[#This Row],[Entradas]]-Artículos[[#This Row],[Salidas]]</f>
        <v>4</v>
      </c>
      <c r="M158" s="16"/>
      <c r="N158" s="16"/>
    </row>
    <row r="159" spans="1:14" ht="14.4" hidden="1" customHeight="1" x14ac:dyDescent="0.3">
      <c r="A159" s="29" t="s">
        <v>799</v>
      </c>
      <c r="B159" s="15"/>
      <c r="C159" s="16" t="e">
        <f>IF([2]!Artículos4[[#This Row],[Proveedor (código)]]="","",VLOOKUP([2]!Artículos4[[#This Row],[Proveedor (código)]],[2]Proveedores!A:B,2,FALSE))</f>
        <v>#REF!</v>
      </c>
      <c r="D159" s="29" t="s">
        <v>243</v>
      </c>
      <c r="E159" s="29" t="s">
        <v>229</v>
      </c>
      <c r="F159" s="51">
        <v>4.7300000000000004</v>
      </c>
      <c r="G159" s="14"/>
      <c r="H159" s="14"/>
      <c r="I159" s="14">
        <v>10</v>
      </c>
      <c r="J159" s="16">
        <f>SUMIFS(Entradas!G:G,Entradas!E:E,Artículos[[#This Row],[Código]])</f>
        <v>44</v>
      </c>
      <c r="K159" s="16">
        <f>SUMIFS(Salidas!G:G,Salidas!E:E,Artículos[[#This Row],[Código]])</f>
        <v>38</v>
      </c>
      <c r="L159" s="16">
        <f>Artículos[[#This Row],[Existencias iniciales]]+Artículos[[#This Row],[Entradas]]-Artículos[[#This Row],[Salidas]]</f>
        <v>16</v>
      </c>
      <c r="M159" s="16"/>
      <c r="N159" s="16"/>
    </row>
    <row r="160" spans="1:14" ht="14.4" hidden="1" customHeight="1" x14ac:dyDescent="0.3">
      <c r="A160" s="29" t="s">
        <v>800</v>
      </c>
      <c r="B160" s="15"/>
      <c r="C160" s="16" t="e">
        <f>IF([2]!Artículos4[[#This Row],[Proveedor (código)]]="","",VLOOKUP([2]!Artículos4[[#This Row],[Proveedor (código)]],[2]Proveedores!A:B,2,FALSE))</f>
        <v>#REF!</v>
      </c>
      <c r="D160" s="29" t="s">
        <v>244</v>
      </c>
      <c r="E160" s="29" t="s">
        <v>229</v>
      </c>
      <c r="F160" s="51">
        <v>24.95</v>
      </c>
      <c r="G160" s="14"/>
      <c r="H160" s="14"/>
      <c r="I160" s="14">
        <v>38</v>
      </c>
      <c r="J160" s="16">
        <f>SUMIFS(Entradas!G:G,Entradas!E:E,Artículos[[#This Row],[Código]])</f>
        <v>23</v>
      </c>
      <c r="K160" s="16">
        <f>SUMIFS(Salidas!G:G,Salidas!E:E,Artículos[[#This Row],[Código]])</f>
        <v>52</v>
      </c>
      <c r="L160" s="16">
        <f>Artículos[[#This Row],[Existencias iniciales]]+Artículos[[#This Row],[Entradas]]-Artículos[[#This Row],[Salidas]]</f>
        <v>9</v>
      </c>
      <c r="M160" s="16"/>
      <c r="N160" s="16"/>
    </row>
    <row r="161" spans="1:14" ht="14.4" hidden="1" customHeight="1" x14ac:dyDescent="0.3">
      <c r="A161" s="29" t="s">
        <v>801</v>
      </c>
      <c r="B161" s="15"/>
      <c r="C161" s="16" t="e">
        <f>IF([2]!Artículos4[[#This Row],[Proveedor (código)]]="","",VLOOKUP([2]!Artículos4[[#This Row],[Proveedor (código)]],[2]Proveedores!A:B,2,FALSE))</f>
        <v>#REF!</v>
      </c>
      <c r="D161" s="29" t="s">
        <v>245</v>
      </c>
      <c r="E161" s="29" t="s">
        <v>229</v>
      </c>
      <c r="F161" s="51">
        <v>46</v>
      </c>
      <c r="G161" s="32"/>
      <c r="H161" s="14"/>
      <c r="I161" s="14">
        <v>8</v>
      </c>
      <c r="J161" s="16">
        <f>SUMIFS(Entradas!G:G,Entradas!E:E,Artículos[[#This Row],[Código]])</f>
        <v>1</v>
      </c>
      <c r="K161" s="16">
        <f>SUMIFS(Salidas!G:G,Salidas!E:E,Artículos[[#This Row],[Código]])</f>
        <v>0</v>
      </c>
      <c r="L161" s="16">
        <f>Artículos[[#This Row],[Existencias iniciales]]+Artículos[[#This Row],[Entradas]]-Artículos[[#This Row],[Salidas]]</f>
        <v>9</v>
      </c>
      <c r="M161" s="16"/>
      <c r="N161" s="16"/>
    </row>
    <row r="162" spans="1:14" ht="14.4" hidden="1" customHeight="1" x14ac:dyDescent="0.3">
      <c r="A162" s="29" t="s">
        <v>802</v>
      </c>
      <c r="B162" s="15"/>
      <c r="C162" s="16" t="e">
        <f>IF([2]!Artículos4[[#This Row],[Proveedor (código)]]="","",VLOOKUP([2]!Artículos4[[#This Row],[Proveedor (código)]],[2]Proveedores!A:B,2,FALSE))</f>
        <v>#REF!</v>
      </c>
      <c r="D162" s="29" t="s">
        <v>246</v>
      </c>
      <c r="E162" s="29" t="s">
        <v>229</v>
      </c>
      <c r="F162" s="51"/>
      <c r="G162" s="14"/>
      <c r="H162" s="14"/>
      <c r="I162" s="14">
        <v>20</v>
      </c>
      <c r="J162" s="16">
        <f>SUMIFS(Entradas!G:G,Entradas!E:E,Artículos[[#This Row],[Código]])</f>
        <v>0</v>
      </c>
      <c r="K162" s="16">
        <f>SUMIFS(Salidas!G:G,Salidas!E:E,Artículos[[#This Row],[Código]])</f>
        <v>0</v>
      </c>
      <c r="L162" s="16">
        <f>Artículos[[#This Row],[Existencias iniciales]]+Artículos[[#This Row],[Entradas]]-Artículos[[#This Row],[Salidas]]</f>
        <v>20</v>
      </c>
      <c r="M162" s="16"/>
      <c r="N162" s="16"/>
    </row>
    <row r="163" spans="1:14" ht="14.4" hidden="1" customHeight="1" x14ac:dyDescent="0.3">
      <c r="A163" s="29" t="s">
        <v>803</v>
      </c>
      <c r="B163" s="15"/>
      <c r="C163" s="16" t="e">
        <f>IF([2]!Artículos4[[#This Row],[Proveedor (código)]]="","",VLOOKUP([2]!Artículos4[[#This Row],[Proveedor (código)]],[2]Proveedores!A:B,2,FALSE))</f>
        <v>#REF!</v>
      </c>
      <c r="D163" s="29" t="s">
        <v>1388</v>
      </c>
      <c r="E163" s="29" t="s">
        <v>229</v>
      </c>
      <c r="F163" s="51"/>
      <c r="G163" s="14"/>
      <c r="H163" s="14"/>
      <c r="I163" s="14"/>
      <c r="J163" s="16">
        <f>SUMIFS(Entradas!G:G,Entradas!E:E,Artículos[[#This Row],[Código]])</f>
        <v>1</v>
      </c>
      <c r="K163" s="16">
        <f>SUMIFS(Salidas!G:G,Salidas!E:E,Artículos[[#This Row],[Código]])</f>
        <v>0</v>
      </c>
      <c r="L163" s="16">
        <f>Artículos[[#This Row],[Existencias iniciales]]+Artículos[[#This Row],[Entradas]]-Artículos[[#This Row],[Salidas]]</f>
        <v>1</v>
      </c>
      <c r="M163" s="16"/>
      <c r="N163" s="16"/>
    </row>
    <row r="164" spans="1:14" ht="14.4" hidden="1" customHeight="1" x14ac:dyDescent="0.3">
      <c r="A164" s="29" t="s">
        <v>804</v>
      </c>
      <c r="B164" s="15"/>
      <c r="C164" s="16" t="e">
        <f>IF([2]!Artículos4[[#This Row],[Proveedor (código)]]="","",VLOOKUP([2]!Artículos4[[#This Row],[Proveedor (código)]],[2]Proveedores!A:B,2,FALSE))</f>
        <v>#REF!</v>
      </c>
      <c r="D164" s="29" t="s">
        <v>248</v>
      </c>
      <c r="E164" s="29" t="s">
        <v>229</v>
      </c>
      <c r="F164" s="51">
        <v>4.6900000000000004</v>
      </c>
      <c r="G164" s="14"/>
      <c r="H164" s="14"/>
      <c r="I164" s="14"/>
      <c r="J164" s="16">
        <f>SUMIFS(Entradas!G:G,Entradas!E:E,Artículos[[#This Row],[Código]])</f>
        <v>5</v>
      </c>
      <c r="K164" s="16">
        <f>SUMIFS(Salidas!G:G,Salidas!E:E,Artículos[[#This Row],[Código]])</f>
        <v>0</v>
      </c>
      <c r="L164" s="16">
        <f>Artículos[[#This Row],[Existencias iniciales]]+Artículos[[#This Row],[Entradas]]-Artículos[[#This Row],[Salidas]]</f>
        <v>5</v>
      </c>
      <c r="M164" s="16"/>
      <c r="N164" s="16"/>
    </row>
    <row r="165" spans="1:14" ht="14.4" hidden="1" customHeight="1" x14ac:dyDescent="0.3">
      <c r="A165" s="29" t="s">
        <v>805</v>
      </c>
      <c r="B165" s="15"/>
      <c r="C165" s="16" t="e">
        <f>IF([2]!Artículos4[[#This Row],[Proveedor (código)]]="","",VLOOKUP([2]!Artículos4[[#This Row],[Proveedor (código)]],[2]Proveedores!A:B,2,FALSE))</f>
        <v>#REF!</v>
      </c>
      <c r="D165" s="29" t="s">
        <v>249</v>
      </c>
      <c r="E165" s="29" t="s">
        <v>229</v>
      </c>
      <c r="F165" s="51"/>
      <c r="G165" s="14"/>
      <c r="H165" s="14"/>
      <c r="I165" s="14"/>
      <c r="J165" s="16">
        <f>SUMIFS(Entradas!G:G,Entradas!E:E,Artículos[[#This Row],[Código]])</f>
        <v>0</v>
      </c>
      <c r="K165" s="16">
        <f>SUMIFS(Salidas!G:G,Salidas!E:E,Artículos[[#This Row],[Código]])</f>
        <v>0</v>
      </c>
      <c r="L165" s="16">
        <f>Artículos[[#This Row],[Existencias iniciales]]+Artículos[[#This Row],[Entradas]]-Artículos[[#This Row],[Salidas]]</f>
        <v>0</v>
      </c>
      <c r="M165" s="16"/>
      <c r="N165" s="16"/>
    </row>
    <row r="166" spans="1:14" ht="14.4" hidden="1" customHeight="1" x14ac:dyDescent="0.3">
      <c r="A166" s="29" t="s">
        <v>806</v>
      </c>
      <c r="B166" s="15"/>
      <c r="C166" s="16" t="e">
        <f>IF([2]!Artículos4[[#This Row],[Proveedor (código)]]="","",VLOOKUP([2]!Artículos4[[#This Row],[Proveedor (código)]],[2]Proveedores!A:B,2,FALSE))</f>
        <v>#REF!</v>
      </c>
      <c r="D166" s="29" t="s">
        <v>250</v>
      </c>
      <c r="E166" s="29" t="s">
        <v>229</v>
      </c>
      <c r="F166" s="51"/>
      <c r="G166" s="14"/>
      <c r="H166" s="14"/>
      <c r="I166" s="14"/>
      <c r="J166" s="16">
        <f>SUMIFS(Entradas!G:G,Entradas!E:E,Artículos[[#This Row],[Código]])</f>
        <v>0</v>
      </c>
      <c r="K166" s="16">
        <f>SUMIFS(Salidas!G:G,Salidas!E:E,Artículos[[#This Row],[Código]])</f>
        <v>0</v>
      </c>
      <c r="L166" s="16">
        <f>Artículos[[#This Row],[Existencias iniciales]]+Artículos[[#This Row],[Entradas]]-Artículos[[#This Row],[Salidas]]</f>
        <v>0</v>
      </c>
      <c r="M166" s="16"/>
      <c r="N166" s="16"/>
    </row>
    <row r="167" spans="1:14" ht="14.4" hidden="1" customHeight="1" x14ac:dyDescent="0.3">
      <c r="A167" s="29" t="s">
        <v>807</v>
      </c>
      <c r="B167" s="15"/>
      <c r="C167" s="16" t="e">
        <f>IF([2]!Artículos4[[#This Row],[Proveedor (código)]]="","",VLOOKUP([2]!Artículos4[[#This Row],[Proveedor (código)]],[2]Proveedores!A:B,2,FALSE))</f>
        <v>#REF!</v>
      </c>
      <c r="D167" s="29" t="s">
        <v>251</v>
      </c>
      <c r="E167" s="29" t="s">
        <v>229</v>
      </c>
      <c r="F167" s="51"/>
      <c r="G167" s="14"/>
      <c r="H167" s="14"/>
      <c r="I167" s="14"/>
      <c r="J167" s="16">
        <f>SUMIFS(Entradas!G:G,Entradas!E:E,Artículos[[#This Row],[Código]])</f>
        <v>0</v>
      </c>
      <c r="K167" s="16">
        <f>SUMIFS(Salidas!G:G,Salidas!E:E,Artículos[[#This Row],[Código]])</f>
        <v>0</v>
      </c>
      <c r="L167" s="16">
        <f>Artículos[[#This Row],[Existencias iniciales]]+Artículos[[#This Row],[Entradas]]-Artículos[[#This Row],[Salidas]]</f>
        <v>0</v>
      </c>
      <c r="M167" s="16"/>
      <c r="N167" s="16"/>
    </row>
    <row r="168" spans="1:14" ht="14.4" hidden="1" customHeight="1" x14ac:dyDescent="0.3">
      <c r="A168" s="29" t="s">
        <v>808</v>
      </c>
      <c r="B168" s="15"/>
      <c r="C168" s="16" t="e">
        <f>IF([2]!Artículos4[[#This Row],[Proveedor (código)]]="","",VLOOKUP([2]!Artículos4[[#This Row],[Proveedor (código)]],[2]Proveedores!A:B,2,FALSE))</f>
        <v>#REF!</v>
      </c>
      <c r="D168" s="29" t="s">
        <v>252</v>
      </c>
      <c r="E168" s="29" t="s">
        <v>229</v>
      </c>
      <c r="F168" s="51"/>
      <c r="G168" s="14"/>
      <c r="H168" s="14"/>
      <c r="I168" s="14"/>
      <c r="J168" s="16">
        <f>SUMIFS(Entradas!G:G,Entradas!E:E,Artículos[[#This Row],[Código]])</f>
        <v>0</v>
      </c>
      <c r="K168" s="16">
        <f>SUMIFS(Salidas!G:G,Salidas!E:E,Artículos[[#This Row],[Código]])</f>
        <v>0</v>
      </c>
      <c r="L168" s="16">
        <f>Artículos[[#This Row],[Existencias iniciales]]+Artículos[[#This Row],[Entradas]]-Artículos[[#This Row],[Salidas]]</f>
        <v>0</v>
      </c>
      <c r="M168" s="16"/>
      <c r="N168" s="16"/>
    </row>
    <row r="169" spans="1:14" ht="14.4" hidden="1" customHeight="1" x14ac:dyDescent="0.3">
      <c r="A169" s="29" t="s">
        <v>809</v>
      </c>
      <c r="B169" s="15"/>
      <c r="C169" s="16" t="e">
        <f>IF([2]!Artículos4[[#This Row],[Proveedor (código)]]="","",VLOOKUP([2]!Artículos4[[#This Row],[Proveedor (código)]],[2]Proveedores!A:B,2,FALSE))</f>
        <v>#REF!</v>
      </c>
      <c r="D169" s="29" t="s">
        <v>253</v>
      </c>
      <c r="E169" s="29" t="s">
        <v>229</v>
      </c>
      <c r="F169" s="51"/>
      <c r="G169" s="14"/>
      <c r="H169" s="14"/>
      <c r="I169" s="14"/>
      <c r="J169" s="16">
        <f>SUMIFS(Entradas!G:G,Entradas!E:E,Artículos[[#This Row],[Código]])</f>
        <v>0</v>
      </c>
      <c r="K169" s="16">
        <f>SUMIFS(Salidas!G:G,Salidas!E:E,Artículos[[#This Row],[Código]])</f>
        <v>0</v>
      </c>
      <c r="L169" s="16">
        <f>Artículos[[#This Row],[Existencias iniciales]]+Artículos[[#This Row],[Entradas]]-Artículos[[#This Row],[Salidas]]</f>
        <v>0</v>
      </c>
      <c r="M169" s="16"/>
      <c r="N169" s="16"/>
    </row>
    <row r="170" spans="1:14" ht="14.4" hidden="1" customHeight="1" x14ac:dyDescent="0.3">
      <c r="A170" s="29" t="s">
        <v>810</v>
      </c>
      <c r="B170" s="15"/>
      <c r="C170" s="16" t="e">
        <f>IF([2]!Artículos4[[#This Row],[Proveedor (código)]]="","",VLOOKUP([2]!Artículos4[[#This Row],[Proveedor (código)]],[2]Proveedores!A:B,2,FALSE))</f>
        <v>#REF!</v>
      </c>
      <c r="D170" s="29" t="s">
        <v>254</v>
      </c>
      <c r="E170" s="29" t="s">
        <v>229</v>
      </c>
      <c r="F170" s="51"/>
      <c r="G170" s="14"/>
      <c r="H170" s="14"/>
      <c r="I170" s="14">
        <v>15</v>
      </c>
      <c r="J170" s="16">
        <f>SUMIFS(Entradas!G:G,Entradas!E:E,Artículos[[#This Row],[Código]])</f>
        <v>0</v>
      </c>
      <c r="K170" s="16">
        <f>SUMIFS(Salidas!G:G,Salidas!E:E,Artículos[[#This Row],[Código]])</f>
        <v>0</v>
      </c>
      <c r="L170" s="16">
        <f>Artículos[[#This Row],[Existencias iniciales]]+Artículos[[#This Row],[Entradas]]-Artículos[[#This Row],[Salidas]]</f>
        <v>15</v>
      </c>
      <c r="M170" s="16"/>
      <c r="N170" s="16"/>
    </row>
    <row r="171" spans="1:14" ht="14.4" hidden="1" customHeight="1" x14ac:dyDescent="0.3">
      <c r="A171" s="29" t="s">
        <v>811</v>
      </c>
      <c r="B171" s="15"/>
      <c r="C171" s="16" t="e">
        <f>IF([2]!Artículos4[[#This Row],[Proveedor (código)]]="","",VLOOKUP([2]!Artículos4[[#This Row],[Proveedor (código)]],[2]Proveedores!A:B,2,FALSE))</f>
        <v>#REF!</v>
      </c>
      <c r="D171" s="29" t="s">
        <v>255</v>
      </c>
      <c r="E171" s="29" t="s">
        <v>229</v>
      </c>
      <c r="F171" s="51"/>
      <c r="G171" s="14"/>
      <c r="H171" s="14"/>
      <c r="I171" s="14"/>
      <c r="J171" s="16">
        <f>SUMIFS(Entradas!G:G,Entradas!E:E,Artículos[[#This Row],[Código]])</f>
        <v>0</v>
      </c>
      <c r="K171" s="16">
        <f>SUMIFS(Salidas!G:G,Salidas!E:E,Artículos[[#This Row],[Código]])</f>
        <v>0</v>
      </c>
      <c r="L171" s="16">
        <f>Artículos[[#This Row],[Existencias iniciales]]+Artículos[[#This Row],[Entradas]]-Artículos[[#This Row],[Salidas]]</f>
        <v>0</v>
      </c>
      <c r="M171" s="16"/>
      <c r="N171" s="16"/>
    </row>
    <row r="172" spans="1:14" ht="14.4" hidden="1" customHeight="1" x14ac:dyDescent="0.3">
      <c r="A172" s="29" t="s">
        <v>812</v>
      </c>
      <c r="B172" s="15"/>
      <c r="C172" s="16" t="e">
        <f>IF([2]!Artículos4[[#This Row],[Proveedor (código)]]="","",VLOOKUP([2]!Artículos4[[#This Row],[Proveedor (código)]],[2]Proveedores!A:B,2,FALSE))</f>
        <v>#REF!</v>
      </c>
      <c r="D172" s="29" t="s">
        <v>256</v>
      </c>
      <c r="E172" s="29" t="s">
        <v>229</v>
      </c>
      <c r="F172" s="51"/>
      <c r="G172" s="14"/>
      <c r="H172" s="14"/>
      <c r="I172" s="14"/>
      <c r="J172" s="16">
        <f>SUMIFS(Entradas!G:G,Entradas!E:E,Artículos[[#This Row],[Código]])</f>
        <v>0</v>
      </c>
      <c r="K172" s="16">
        <f>SUMIFS(Salidas!G:G,Salidas!E:E,Artículos[[#This Row],[Código]])</f>
        <v>0</v>
      </c>
      <c r="L172" s="16">
        <f>Artículos[[#This Row],[Existencias iniciales]]+Artículos[[#This Row],[Entradas]]-Artículos[[#This Row],[Salidas]]</f>
        <v>0</v>
      </c>
      <c r="M172" s="16"/>
      <c r="N172" s="16"/>
    </row>
    <row r="173" spans="1:14" ht="14.4" hidden="1" customHeight="1" x14ac:dyDescent="0.3">
      <c r="A173" s="29" t="s">
        <v>813</v>
      </c>
      <c r="B173" s="15"/>
      <c r="C173" s="16" t="e">
        <f>IF([2]!Artículos4[[#This Row],[Proveedor (código)]]="","",VLOOKUP([2]!Artículos4[[#This Row],[Proveedor (código)]],[2]Proveedores!A:B,2,FALSE))</f>
        <v>#REF!</v>
      </c>
      <c r="D173" s="29" t="s">
        <v>257</v>
      </c>
      <c r="E173" s="29" t="s">
        <v>229</v>
      </c>
      <c r="F173" s="51"/>
      <c r="G173" s="14"/>
      <c r="H173" s="14"/>
      <c r="I173" s="14">
        <v>6</v>
      </c>
      <c r="J173" s="16">
        <f>SUMIFS(Entradas!G:G,Entradas!E:E,Artículos[[#This Row],[Código]])</f>
        <v>0</v>
      </c>
      <c r="K173" s="16">
        <f>SUMIFS(Salidas!G:G,Salidas!E:E,Artículos[[#This Row],[Código]])</f>
        <v>0</v>
      </c>
      <c r="L173" s="16">
        <f>Artículos[[#This Row],[Existencias iniciales]]+Artículos[[#This Row],[Entradas]]-Artículos[[#This Row],[Salidas]]</f>
        <v>6</v>
      </c>
      <c r="M173" s="16"/>
      <c r="N173" s="16"/>
    </row>
    <row r="174" spans="1:14" ht="14.4" hidden="1" customHeight="1" x14ac:dyDescent="0.3">
      <c r="A174" s="29" t="s">
        <v>814</v>
      </c>
      <c r="B174" s="15"/>
      <c r="C174" s="16" t="e">
        <f>IF([2]!Artículos4[[#This Row],[Proveedor (código)]]="","",VLOOKUP([2]!Artículos4[[#This Row],[Proveedor (código)]],[2]Proveedores!A:B,2,FALSE))</f>
        <v>#REF!</v>
      </c>
      <c r="D174" s="29" t="s">
        <v>258</v>
      </c>
      <c r="E174" s="29" t="s">
        <v>229</v>
      </c>
      <c r="F174" s="51"/>
      <c r="G174" s="14"/>
      <c r="H174" s="14"/>
      <c r="I174" s="14">
        <v>6</v>
      </c>
      <c r="J174" s="16">
        <f>SUMIFS(Entradas!G:G,Entradas!E:E,Artículos[[#This Row],[Código]])</f>
        <v>0</v>
      </c>
      <c r="K174" s="16">
        <f>SUMIFS(Salidas!G:G,Salidas!E:E,Artículos[[#This Row],[Código]])</f>
        <v>0</v>
      </c>
      <c r="L174" s="16">
        <f>Artículos[[#This Row],[Existencias iniciales]]+Artículos[[#This Row],[Entradas]]-Artículos[[#This Row],[Salidas]]</f>
        <v>6</v>
      </c>
      <c r="M174" s="16"/>
      <c r="N174" s="16"/>
    </row>
    <row r="175" spans="1:14" ht="14.4" hidden="1" customHeight="1" x14ac:dyDescent="0.3">
      <c r="A175" s="29" t="s">
        <v>815</v>
      </c>
      <c r="B175" s="15"/>
      <c r="C175" s="16" t="e">
        <f>IF([2]!Artículos4[[#This Row],[Proveedor (código)]]="","",VLOOKUP([2]!Artículos4[[#This Row],[Proveedor (código)]],[2]Proveedores!A:B,2,FALSE))</f>
        <v>#REF!</v>
      </c>
      <c r="D175" s="29" t="s">
        <v>1402</v>
      </c>
      <c r="E175" s="29" t="s">
        <v>229</v>
      </c>
      <c r="F175" s="51"/>
      <c r="G175" s="14"/>
      <c r="H175" s="14"/>
      <c r="I175" s="14"/>
      <c r="J175" s="16">
        <f>SUMIFS(Entradas!G:G,Entradas!E:E,Artículos[[#This Row],[Código]])</f>
        <v>20</v>
      </c>
      <c r="K175" s="16">
        <f>SUMIFS(Salidas!G:G,Salidas!E:E,Artículos[[#This Row],[Código]])</f>
        <v>0</v>
      </c>
      <c r="L175" s="16">
        <f>Artículos[[#This Row],[Existencias iniciales]]+Artículos[[#This Row],[Entradas]]-Artículos[[#This Row],[Salidas]]</f>
        <v>20</v>
      </c>
      <c r="M175" s="16"/>
      <c r="N175" s="16"/>
    </row>
    <row r="176" spans="1:14" ht="14.4" hidden="1" customHeight="1" x14ac:dyDescent="0.3">
      <c r="A176" s="29" t="s">
        <v>816</v>
      </c>
      <c r="B176" s="15"/>
      <c r="C176" s="16" t="e">
        <f>IF([2]!Artículos4[[#This Row],[Proveedor (código)]]="","",VLOOKUP([2]!Artículos4[[#This Row],[Proveedor (código)]],[2]Proveedores!A:B,2,FALSE))</f>
        <v>#REF!</v>
      </c>
      <c r="D176" s="29" t="s">
        <v>260</v>
      </c>
      <c r="E176" s="29" t="s">
        <v>229</v>
      </c>
      <c r="F176" s="51"/>
      <c r="G176" s="14"/>
      <c r="H176" s="14"/>
      <c r="I176" s="14">
        <v>84</v>
      </c>
      <c r="J176" s="16">
        <f>SUMIFS(Entradas!G:G,Entradas!E:E,Artículos[[#This Row],[Código]])</f>
        <v>0</v>
      </c>
      <c r="K176" s="16">
        <f>SUMIFS(Salidas!G:G,Salidas!E:E,Artículos[[#This Row],[Código]])</f>
        <v>0</v>
      </c>
      <c r="L176" s="16">
        <f>Artículos[[#This Row],[Existencias iniciales]]+Artículos[[#This Row],[Entradas]]-Artículos[[#This Row],[Salidas]]</f>
        <v>84</v>
      </c>
      <c r="M176" s="16"/>
      <c r="N176" s="16"/>
    </row>
    <row r="177" spans="1:14" ht="14.4" hidden="1" customHeight="1" x14ac:dyDescent="0.3">
      <c r="A177" s="29" t="s">
        <v>817</v>
      </c>
      <c r="B177" s="15"/>
      <c r="C177" s="16" t="e">
        <f>IF([2]!Artículos4[[#This Row],[Proveedor (código)]]="","",VLOOKUP([2]!Artículos4[[#This Row],[Proveedor (código)]],[2]Proveedores!A:B,2,FALSE))</f>
        <v>#REF!</v>
      </c>
      <c r="D177" s="29" t="s">
        <v>261</v>
      </c>
      <c r="E177" s="29" t="s">
        <v>229</v>
      </c>
      <c r="F177" s="51"/>
      <c r="G177" s="14"/>
      <c r="H177" s="14"/>
      <c r="I177" s="14">
        <v>5</v>
      </c>
      <c r="J177" s="16">
        <f>SUMIFS(Entradas!G:G,Entradas!E:E,Artículos[[#This Row],[Código]])</f>
        <v>0</v>
      </c>
      <c r="K177" s="16">
        <f>SUMIFS(Salidas!G:G,Salidas!E:E,Artículos[[#This Row],[Código]])</f>
        <v>0</v>
      </c>
      <c r="L177" s="16">
        <f>Artículos[[#This Row],[Existencias iniciales]]+Artículos[[#This Row],[Entradas]]-Artículos[[#This Row],[Salidas]]</f>
        <v>5</v>
      </c>
      <c r="M177" s="16"/>
      <c r="N177" s="16"/>
    </row>
    <row r="178" spans="1:14" ht="14.4" hidden="1" customHeight="1" x14ac:dyDescent="0.3">
      <c r="A178" s="29" t="s">
        <v>818</v>
      </c>
      <c r="B178" s="15"/>
      <c r="C178" s="16" t="e">
        <f>IF([2]!Artículos4[[#This Row],[Proveedor (código)]]="","",VLOOKUP([2]!Artículos4[[#This Row],[Proveedor (código)]],[2]Proveedores!A:B,2,FALSE))</f>
        <v>#REF!</v>
      </c>
      <c r="D178" s="29" t="s">
        <v>262</v>
      </c>
      <c r="E178" s="29" t="s">
        <v>229</v>
      </c>
      <c r="F178" s="51"/>
      <c r="G178" s="14"/>
      <c r="H178" s="14"/>
      <c r="I178" s="14"/>
      <c r="J178" s="16">
        <f>SUMIFS(Entradas!G:G,Entradas!E:E,Artículos[[#This Row],[Código]])</f>
        <v>0</v>
      </c>
      <c r="K178" s="16">
        <f>SUMIFS(Salidas!G:G,Salidas!E:E,Artículos[[#This Row],[Código]])</f>
        <v>0</v>
      </c>
      <c r="L178" s="16">
        <f>Artículos[[#This Row],[Existencias iniciales]]+Artículos[[#This Row],[Entradas]]-Artículos[[#This Row],[Salidas]]</f>
        <v>0</v>
      </c>
      <c r="M178" s="16"/>
      <c r="N178" s="16"/>
    </row>
    <row r="179" spans="1:14" ht="14.4" hidden="1" customHeight="1" x14ac:dyDescent="0.3">
      <c r="A179" s="29" t="s">
        <v>819</v>
      </c>
      <c r="B179" s="15"/>
      <c r="C179" s="16" t="e">
        <f>IF([2]!Artículos4[[#This Row],[Proveedor (código)]]="","",VLOOKUP([2]!Artículos4[[#This Row],[Proveedor (código)]],[2]Proveedores!A:B,2,FALSE))</f>
        <v>#REF!</v>
      </c>
      <c r="D179" s="29" t="s">
        <v>263</v>
      </c>
      <c r="E179" s="29" t="s">
        <v>229</v>
      </c>
      <c r="F179" s="51"/>
      <c r="G179" s="14"/>
      <c r="H179" s="14"/>
      <c r="I179" s="14">
        <v>1</v>
      </c>
      <c r="J179" s="16">
        <f>SUMIFS(Entradas!G:G,Entradas!E:E,Artículos[[#This Row],[Código]])</f>
        <v>0</v>
      </c>
      <c r="K179" s="16">
        <f>SUMIFS(Salidas!G:G,Salidas!E:E,Artículos[[#This Row],[Código]])</f>
        <v>0.5</v>
      </c>
      <c r="L179" s="16">
        <f>Artículos[[#This Row],[Existencias iniciales]]+Artículos[[#This Row],[Entradas]]-Artículos[[#This Row],[Salidas]]</f>
        <v>0.5</v>
      </c>
      <c r="M179" s="16"/>
      <c r="N179" s="16"/>
    </row>
    <row r="180" spans="1:14" ht="14.4" hidden="1" customHeight="1" x14ac:dyDescent="0.3">
      <c r="A180" s="29" t="s">
        <v>820</v>
      </c>
      <c r="B180" s="15"/>
      <c r="C180" s="16" t="e">
        <f>IF([2]!Artículos4[[#This Row],[Proveedor (código)]]="","",VLOOKUP([2]!Artículos4[[#This Row],[Proveedor (código)]],[2]Proveedores!A:B,2,FALSE))</f>
        <v>#REF!</v>
      </c>
      <c r="D180" s="29" t="s">
        <v>264</v>
      </c>
      <c r="E180" s="29" t="s">
        <v>229</v>
      </c>
      <c r="F180" s="51"/>
      <c r="G180" s="14"/>
      <c r="H180" s="14"/>
      <c r="I180" s="14"/>
      <c r="J180" s="16">
        <f>SUMIFS(Entradas!G:G,Entradas!E:E,Artículos[[#This Row],[Código]])</f>
        <v>0</v>
      </c>
      <c r="K180" s="16">
        <f>SUMIFS(Salidas!G:G,Salidas!E:E,Artículos[[#This Row],[Código]])</f>
        <v>0</v>
      </c>
      <c r="L180" s="16">
        <f>Artículos[[#This Row],[Existencias iniciales]]+Artículos[[#This Row],[Entradas]]-Artículos[[#This Row],[Salidas]]</f>
        <v>0</v>
      </c>
      <c r="M180" s="16"/>
      <c r="N180" s="16"/>
    </row>
    <row r="181" spans="1:14" ht="14.4" hidden="1" customHeight="1" x14ac:dyDescent="0.3">
      <c r="A181" s="29" t="s">
        <v>821</v>
      </c>
      <c r="B181" s="15"/>
      <c r="C181" s="16" t="e">
        <f>IF([2]!Artículos4[[#This Row],[Proveedor (código)]]="","",VLOOKUP([2]!Artículos4[[#This Row],[Proveedor (código)]],[2]Proveedores!A:B,2,FALSE))</f>
        <v>#REF!</v>
      </c>
      <c r="D181" s="29" t="s">
        <v>265</v>
      </c>
      <c r="E181" s="29" t="s">
        <v>229</v>
      </c>
      <c r="F181" s="51"/>
      <c r="G181" s="14"/>
      <c r="H181" s="14"/>
      <c r="I181" s="14"/>
      <c r="J181" s="16">
        <f>SUMIFS(Entradas!G:G,Entradas!E:E,Artículos[[#This Row],[Código]])</f>
        <v>0</v>
      </c>
      <c r="K181" s="16">
        <f>SUMIFS(Salidas!G:G,Salidas!E:E,Artículos[[#This Row],[Código]])</f>
        <v>0</v>
      </c>
      <c r="L181" s="16">
        <f>Artículos[[#This Row],[Existencias iniciales]]+Artículos[[#This Row],[Entradas]]-Artículos[[#This Row],[Salidas]]</f>
        <v>0</v>
      </c>
      <c r="M181" s="16"/>
      <c r="N181" s="16"/>
    </row>
    <row r="182" spans="1:14" ht="14.4" hidden="1" customHeight="1" x14ac:dyDescent="0.3">
      <c r="A182" s="29" t="s">
        <v>822</v>
      </c>
      <c r="B182" s="15"/>
      <c r="C182" s="16" t="e">
        <f>IF([2]!Artículos4[[#This Row],[Proveedor (código)]]="","",VLOOKUP([2]!Artículos4[[#This Row],[Proveedor (código)]],[2]Proveedores!A:B,2,FALSE))</f>
        <v>#REF!</v>
      </c>
      <c r="D182" s="29" t="s">
        <v>266</v>
      </c>
      <c r="E182" s="29" t="s">
        <v>229</v>
      </c>
      <c r="F182" s="51"/>
      <c r="G182" s="14"/>
      <c r="H182" s="14"/>
      <c r="I182" s="14">
        <v>6</v>
      </c>
      <c r="J182" s="16">
        <f>SUMIFS(Entradas!G:G,Entradas!E:E,Artículos[[#This Row],[Código]])</f>
        <v>0</v>
      </c>
      <c r="K182" s="16">
        <f>SUMIFS(Salidas!G:G,Salidas!E:E,Artículos[[#This Row],[Código]])</f>
        <v>0</v>
      </c>
      <c r="L182" s="16">
        <f>Artículos[[#This Row],[Existencias iniciales]]+Artículos[[#This Row],[Entradas]]-Artículos[[#This Row],[Salidas]]</f>
        <v>6</v>
      </c>
      <c r="M182" s="16"/>
      <c r="N182" s="16"/>
    </row>
    <row r="183" spans="1:14" ht="14.4" hidden="1" customHeight="1" x14ac:dyDescent="0.3">
      <c r="A183" s="29" t="s">
        <v>823</v>
      </c>
      <c r="B183" s="15"/>
      <c r="C183" s="16" t="e">
        <f>IF([2]!Artículos4[[#This Row],[Proveedor (código)]]="","",VLOOKUP([2]!Artículos4[[#This Row],[Proveedor (código)]],[2]Proveedores!A:B,2,FALSE))</f>
        <v>#REF!</v>
      </c>
      <c r="D183" s="29" t="s">
        <v>267</v>
      </c>
      <c r="E183" s="29" t="s">
        <v>229</v>
      </c>
      <c r="F183" s="51"/>
      <c r="G183" s="14"/>
      <c r="H183" s="14"/>
      <c r="I183" s="14">
        <v>2</v>
      </c>
      <c r="J183" s="16">
        <f>SUMIFS(Entradas!G:G,Entradas!E:E,Artículos[[#This Row],[Código]])</f>
        <v>0</v>
      </c>
      <c r="K183" s="16">
        <f>SUMIFS(Salidas!G:G,Salidas!E:E,Artículos[[#This Row],[Código]])</f>
        <v>0.25</v>
      </c>
      <c r="L183" s="16">
        <f>Artículos[[#This Row],[Existencias iniciales]]+Artículos[[#This Row],[Entradas]]-Artículos[[#This Row],[Salidas]]</f>
        <v>1.75</v>
      </c>
      <c r="M183" s="16"/>
      <c r="N183" s="16"/>
    </row>
    <row r="184" spans="1:14" ht="14.4" hidden="1" customHeight="1" x14ac:dyDescent="0.3">
      <c r="A184" s="29" t="s">
        <v>824</v>
      </c>
      <c r="B184" s="27"/>
      <c r="C184" s="28" t="e">
        <f>IF([2]!Artículos4[[#This Row],[Proveedor (código)]]="","",VLOOKUP([2]!Artículos4[[#This Row],[Proveedor (código)]],[2]Proveedores!A:B,2,FALSE))</f>
        <v>#REF!</v>
      </c>
      <c r="D184" s="29" t="s">
        <v>268</v>
      </c>
      <c r="E184" s="29" t="s">
        <v>229</v>
      </c>
      <c r="F184" s="51"/>
      <c r="G184" s="14"/>
      <c r="H184" s="14"/>
      <c r="I184" s="14">
        <v>1</v>
      </c>
      <c r="J184" s="16">
        <f>SUMIFS(Entradas!G:G,Entradas!E:E,Artículos[[#This Row],[Código]])</f>
        <v>4</v>
      </c>
      <c r="K184" s="16">
        <f>SUMIFS(Salidas!G:G,Salidas!E:E,Artículos[[#This Row],[Código]])</f>
        <v>0</v>
      </c>
      <c r="L184" s="16">
        <f>Artículos[[#This Row],[Existencias iniciales]]+Artículos[[#This Row],[Entradas]]-Artículos[[#This Row],[Salidas]]</f>
        <v>5</v>
      </c>
      <c r="M184" s="16"/>
      <c r="N184" s="16"/>
    </row>
    <row r="185" spans="1:14" ht="14.4" hidden="1" customHeight="1" x14ac:dyDescent="0.3">
      <c r="A185" s="29" t="s">
        <v>748</v>
      </c>
      <c r="B185" s="15"/>
      <c r="C185" s="16" t="e">
        <f>IF([2]!Artículos4[[#This Row],[Proveedor (código)]]="","",VLOOKUP([2]!Artículos4[[#This Row],[Proveedor (código)]],[2]Proveedores!A:B,2,FALSE))</f>
        <v>#REF!</v>
      </c>
      <c r="D185" s="29" t="s">
        <v>269</v>
      </c>
      <c r="E185" s="29" t="s">
        <v>52</v>
      </c>
      <c r="F185" s="51">
        <v>3.1</v>
      </c>
      <c r="G185" s="14"/>
      <c r="H185" s="14"/>
      <c r="I185" s="14">
        <v>4</v>
      </c>
      <c r="J185" s="16">
        <f>SUMIFS(Entradas!G:G,Entradas!E:E,Artículos[[#This Row],[Código]])</f>
        <v>1</v>
      </c>
      <c r="K185" s="16">
        <f>SUMIFS(Salidas!G:G,Salidas!E:E,Artículos[[#This Row],[Código]])</f>
        <v>0</v>
      </c>
      <c r="L185" s="16">
        <f>Artículos[[#This Row],[Existencias iniciales]]+Artículos[[#This Row],[Entradas]]-Artículos[[#This Row],[Salidas]]</f>
        <v>5</v>
      </c>
      <c r="M185" s="16"/>
      <c r="N185" s="16"/>
    </row>
    <row r="186" spans="1:14" ht="14.4" hidden="1" customHeight="1" x14ac:dyDescent="0.3">
      <c r="A186" s="29" t="s">
        <v>749</v>
      </c>
      <c r="B186" s="15"/>
      <c r="C186" s="16" t="e">
        <f>IF([2]!Artículos4[[#This Row],[Proveedor (código)]]="","",VLOOKUP([2]!Artículos4[[#This Row],[Proveedor (código)]],[2]Proveedores!A:B,2,FALSE))</f>
        <v>#REF!</v>
      </c>
      <c r="D186" s="29" t="s">
        <v>270</v>
      </c>
      <c r="E186" s="29" t="s">
        <v>52</v>
      </c>
      <c r="F186" s="51">
        <v>17.690000000000001</v>
      </c>
      <c r="G186" s="14"/>
      <c r="H186" s="14"/>
      <c r="I186" s="14">
        <v>2</v>
      </c>
      <c r="J186" s="16">
        <f>SUMIFS(Entradas!G:G,Entradas!E:E,Artículos[[#This Row],[Código]])</f>
        <v>9</v>
      </c>
      <c r="K186" s="16">
        <f>SUMIFS(Salidas!G:G,Salidas!E:E,Artículos[[#This Row],[Código]])</f>
        <v>0</v>
      </c>
      <c r="L186" s="16">
        <f>Artículos[[#This Row],[Existencias iniciales]]+Artículos[[#This Row],[Entradas]]-Artículos[[#This Row],[Salidas]]</f>
        <v>11</v>
      </c>
      <c r="M186" s="16"/>
      <c r="N186" s="16"/>
    </row>
    <row r="187" spans="1:14" ht="14.4" hidden="1" customHeight="1" x14ac:dyDescent="0.3">
      <c r="A187" s="29" t="s">
        <v>750</v>
      </c>
      <c r="B187" s="15"/>
      <c r="C187" s="16" t="e">
        <f>IF([2]!Artículos4[[#This Row],[Proveedor (código)]]="","",VLOOKUP([2]!Artículos4[[#This Row],[Proveedor (código)]],[2]Proveedores!A:B,2,FALSE))</f>
        <v>#REF!</v>
      </c>
      <c r="D187" s="29" t="s">
        <v>271</v>
      </c>
      <c r="E187" s="29" t="s">
        <v>52</v>
      </c>
      <c r="F187" s="51">
        <v>7.36</v>
      </c>
      <c r="G187" s="14"/>
      <c r="H187" s="14"/>
      <c r="I187" s="14">
        <v>2</v>
      </c>
      <c r="J187" s="16">
        <f>SUMIFS(Entradas!G:G,Entradas!E:E,Artículos[[#This Row],[Código]])</f>
        <v>5</v>
      </c>
      <c r="K187" s="16">
        <f>SUMIFS(Salidas!G:G,Salidas!E:E,Artículos[[#This Row],[Código]])</f>
        <v>0</v>
      </c>
      <c r="L187" s="16">
        <f>Artículos[[#This Row],[Existencias iniciales]]+Artículos[[#This Row],[Entradas]]-Artículos[[#This Row],[Salidas]]</f>
        <v>7</v>
      </c>
      <c r="M187" s="16"/>
      <c r="N187" s="16"/>
    </row>
    <row r="188" spans="1:14" ht="14.4" hidden="1" customHeight="1" x14ac:dyDescent="0.3">
      <c r="A188" s="29" t="s">
        <v>751</v>
      </c>
      <c r="B188" s="15"/>
      <c r="C188" s="16" t="e">
        <f>IF([2]!Artículos4[[#This Row],[Proveedor (código)]]="","",VLOOKUP([2]!Artículos4[[#This Row],[Proveedor (código)]],[2]Proveedores!A:B,2,FALSE))</f>
        <v>#REF!</v>
      </c>
      <c r="D188" s="29" t="s">
        <v>272</v>
      </c>
      <c r="E188" s="29" t="s">
        <v>52</v>
      </c>
      <c r="F188" s="51"/>
      <c r="G188" s="14"/>
      <c r="H188" s="14"/>
      <c r="I188" s="38"/>
      <c r="J188" s="16">
        <f>SUMIFS(Entradas!G:G,Entradas!E:E,Artículos[[#This Row],[Código]])</f>
        <v>0</v>
      </c>
      <c r="K188" s="16">
        <f>SUMIFS(Salidas!G:G,Salidas!E:E,Artículos[[#This Row],[Código]])</f>
        <v>0</v>
      </c>
      <c r="L188" s="16">
        <f>Artículos[[#This Row],[Existencias iniciales]]+Artículos[[#This Row],[Entradas]]-Artículos[[#This Row],[Salidas]]</f>
        <v>0</v>
      </c>
      <c r="M188" s="16"/>
      <c r="N188" s="16"/>
    </row>
    <row r="189" spans="1:14" ht="14.4" hidden="1" customHeight="1" x14ac:dyDescent="0.3">
      <c r="A189" s="29" t="s">
        <v>752</v>
      </c>
      <c r="B189" s="15"/>
      <c r="C189" s="16" t="e">
        <f>IF([2]!Artículos4[[#This Row],[Proveedor (código)]]="","",VLOOKUP([2]!Artículos4[[#This Row],[Proveedor (código)]],[2]Proveedores!A:B,2,FALSE))</f>
        <v>#REF!</v>
      </c>
      <c r="D189" s="29" t="s">
        <v>273</v>
      </c>
      <c r="E189" s="29" t="s">
        <v>52</v>
      </c>
      <c r="F189" s="51"/>
      <c r="G189" s="14"/>
      <c r="H189" s="14"/>
      <c r="I189" s="38"/>
      <c r="J189" s="16">
        <f>SUMIFS(Entradas!G:G,Entradas!E:E,Artículos[[#This Row],[Código]])</f>
        <v>0</v>
      </c>
      <c r="K189" s="16">
        <f>SUMIFS(Salidas!G:G,Salidas!E:E,Artículos[[#This Row],[Código]])</f>
        <v>0</v>
      </c>
      <c r="L189" s="16">
        <f>Artículos[[#This Row],[Existencias iniciales]]+Artículos[[#This Row],[Entradas]]-Artículos[[#This Row],[Salidas]]</f>
        <v>0</v>
      </c>
      <c r="M189" s="16"/>
      <c r="N189" s="16"/>
    </row>
    <row r="190" spans="1:14" ht="14.4" hidden="1" customHeight="1" x14ac:dyDescent="0.3">
      <c r="A190" s="29" t="s">
        <v>753</v>
      </c>
      <c r="B190" s="15"/>
      <c r="C190" s="16" t="e">
        <f>IF([2]!Artículos4[[#This Row],[Proveedor (código)]]="","",VLOOKUP([2]!Artículos4[[#This Row],[Proveedor (código)]],[2]Proveedores!A:B,2,FALSE))</f>
        <v>#REF!</v>
      </c>
      <c r="D190" s="29" t="s">
        <v>274</v>
      </c>
      <c r="E190" s="29" t="s">
        <v>52</v>
      </c>
      <c r="F190" s="51">
        <v>3.29</v>
      </c>
      <c r="G190" s="14"/>
      <c r="H190" s="14"/>
      <c r="I190" s="14">
        <v>390</v>
      </c>
      <c r="J190" s="16">
        <f>SUMIFS(Entradas!G:G,Entradas!E:E,Artículos[[#This Row],[Código]])</f>
        <v>14</v>
      </c>
      <c r="K190" s="16">
        <f>SUMIFS(Salidas!G:G,Salidas!E:E,Artículos[[#This Row],[Código]])</f>
        <v>16</v>
      </c>
      <c r="L190" s="16">
        <f>Artículos[[#This Row],[Existencias iniciales]]+Artículos[[#This Row],[Entradas]]-Artículos[[#This Row],[Salidas]]</f>
        <v>388</v>
      </c>
      <c r="M190" s="16"/>
      <c r="N190" s="16"/>
    </row>
    <row r="191" spans="1:14" ht="14.4" hidden="1" customHeight="1" x14ac:dyDescent="0.3">
      <c r="A191" s="29" t="s">
        <v>754</v>
      </c>
      <c r="B191" s="15"/>
      <c r="C191" s="16" t="e">
        <f>IF([2]!Artículos4[[#This Row],[Proveedor (código)]]="","",VLOOKUP([2]!Artículos4[[#This Row],[Proveedor (código)]],[2]Proveedores!A:B,2,FALSE))</f>
        <v>#REF!</v>
      </c>
      <c r="D191" s="29" t="s">
        <v>275</v>
      </c>
      <c r="E191" s="29" t="s">
        <v>52</v>
      </c>
      <c r="F191" s="51">
        <v>5.97</v>
      </c>
      <c r="G191" s="14"/>
      <c r="H191" s="14"/>
      <c r="I191" s="38">
        <v>10</v>
      </c>
      <c r="J191" s="16">
        <f>SUMIFS(Entradas!G:G,Entradas!E:E,Artículos[[#This Row],[Código]])</f>
        <v>11</v>
      </c>
      <c r="K191" s="16">
        <f>SUMIFS(Salidas!G:G,Salidas!E:E,Artículos[[#This Row],[Código]])</f>
        <v>0</v>
      </c>
      <c r="L191" s="16">
        <f>Artículos[[#This Row],[Existencias iniciales]]+Artículos[[#This Row],[Entradas]]-Artículos[[#This Row],[Salidas]]</f>
        <v>21</v>
      </c>
      <c r="M191" s="16"/>
      <c r="N191" s="16"/>
    </row>
    <row r="192" spans="1:14" ht="14.4" hidden="1" customHeight="1" x14ac:dyDescent="0.3">
      <c r="A192" s="29" t="s">
        <v>755</v>
      </c>
      <c r="B192" s="15"/>
      <c r="C192" s="16" t="e">
        <f>IF([2]!Artículos4[[#This Row],[Proveedor (código)]]="","",VLOOKUP([2]!Artículos4[[#This Row],[Proveedor (código)]],[2]Proveedores!A:B,2,FALSE))</f>
        <v>#REF!</v>
      </c>
      <c r="D192" s="29" t="s">
        <v>276</v>
      </c>
      <c r="E192" s="29" t="s">
        <v>52</v>
      </c>
      <c r="F192" s="51">
        <v>15.89</v>
      </c>
      <c r="G192" s="14"/>
      <c r="H192" s="14"/>
      <c r="I192" s="14">
        <v>122</v>
      </c>
      <c r="J192" s="16">
        <f>SUMIFS(Entradas!G:G,Entradas!E:E,Artículos[[#This Row],[Código]])</f>
        <v>31</v>
      </c>
      <c r="K192" s="16">
        <f>SUMIFS(Salidas!G:G,Salidas!E:E,Artículos[[#This Row],[Código]])</f>
        <v>13</v>
      </c>
      <c r="L192" s="16">
        <f>Artículos[[#This Row],[Existencias iniciales]]+Artículos[[#This Row],[Entradas]]-Artículos[[#This Row],[Salidas]]</f>
        <v>140</v>
      </c>
      <c r="M192" s="16"/>
      <c r="N192" s="16"/>
    </row>
    <row r="193" spans="1:14" ht="14.4" hidden="1" customHeight="1" x14ac:dyDescent="0.3">
      <c r="A193" s="29" t="s">
        <v>756</v>
      </c>
      <c r="B193" s="15"/>
      <c r="C193" s="16" t="e">
        <f>IF([2]!Artículos4[[#This Row],[Proveedor (código)]]="","",VLOOKUP([2]!Artículos4[[#This Row],[Proveedor (código)]],[2]Proveedores!A:B,2,FALSE))</f>
        <v>#REF!</v>
      </c>
      <c r="D193" s="29" t="s">
        <v>277</v>
      </c>
      <c r="E193" s="29" t="s">
        <v>52</v>
      </c>
      <c r="F193" s="51"/>
      <c r="G193" s="14"/>
      <c r="H193" s="14"/>
      <c r="I193" s="14"/>
      <c r="J193" s="16">
        <f>SUMIFS(Entradas!G:G,Entradas!E:E,Artículos[[#This Row],[Código]])</f>
        <v>0</v>
      </c>
      <c r="K193" s="16">
        <f>SUMIFS(Salidas!G:G,Salidas!E:E,Artículos[[#This Row],[Código]])</f>
        <v>0</v>
      </c>
      <c r="L193" s="16">
        <f>Artículos[[#This Row],[Existencias iniciales]]+Artículos[[#This Row],[Entradas]]-Artículos[[#This Row],[Salidas]]</f>
        <v>0</v>
      </c>
      <c r="M193" s="16"/>
      <c r="N193" s="16"/>
    </row>
    <row r="194" spans="1:14" ht="14.4" hidden="1" customHeight="1" x14ac:dyDescent="0.3">
      <c r="A194" s="29" t="s">
        <v>757</v>
      </c>
      <c r="B194" s="15"/>
      <c r="C194" s="16" t="e">
        <f>IF([2]!Artículos4[[#This Row],[Proveedor (código)]]="","",VLOOKUP([2]!Artículos4[[#This Row],[Proveedor (código)]],[2]Proveedores!A:B,2,FALSE))</f>
        <v>#REF!</v>
      </c>
      <c r="D194" s="29" t="s">
        <v>278</v>
      </c>
      <c r="E194" s="29" t="s">
        <v>52</v>
      </c>
      <c r="F194" s="51"/>
      <c r="G194" s="14"/>
      <c r="H194" s="14"/>
      <c r="I194" s="14"/>
      <c r="J194" s="16">
        <f>SUMIFS(Entradas!G:G,Entradas!E:E,Artículos[[#This Row],[Código]])</f>
        <v>0</v>
      </c>
      <c r="K194" s="16">
        <f>SUMIFS(Salidas!G:G,Salidas!E:E,Artículos[[#This Row],[Código]])</f>
        <v>0</v>
      </c>
      <c r="L194" s="16">
        <f>Artículos[[#This Row],[Existencias iniciales]]+Artículos[[#This Row],[Entradas]]-Artículos[[#This Row],[Salidas]]</f>
        <v>0</v>
      </c>
      <c r="M194" s="16"/>
      <c r="N194" s="16"/>
    </row>
    <row r="195" spans="1:14" ht="14.4" hidden="1" customHeight="1" x14ac:dyDescent="0.3">
      <c r="A195" s="29" t="s">
        <v>758</v>
      </c>
      <c r="B195" s="15"/>
      <c r="C195" s="16" t="e">
        <f>IF([2]!Artículos4[[#This Row],[Proveedor (código)]]="","",VLOOKUP([2]!Artículos4[[#This Row],[Proveedor (código)]],[2]Proveedores!A:B,2,FALSE))</f>
        <v>#REF!</v>
      </c>
      <c r="D195" s="29" t="s">
        <v>279</v>
      </c>
      <c r="E195" s="29" t="s">
        <v>52</v>
      </c>
      <c r="F195" s="51"/>
      <c r="G195" s="14"/>
      <c r="H195" s="14"/>
      <c r="I195" s="14"/>
      <c r="J195" s="16">
        <f>SUMIFS(Entradas!G:G,Entradas!E:E,Artículos[[#This Row],[Código]])</f>
        <v>0</v>
      </c>
      <c r="K195" s="16">
        <f>SUMIFS(Salidas!G:G,Salidas!E:E,Artículos[[#This Row],[Código]])</f>
        <v>0</v>
      </c>
      <c r="L195" s="16">
        <f>Artículos[[#This Row],[Existencias iniciales]]+Artículos[[#This Row],[Entradas]]-Artículos[[#This Row],[Salidas]]</f>
        <v>0</v>
      </c>
      <c r="M195" s="16"/>
      <c r="N195" s="16"/>
    </row>
    <row r="196" spans="1:14" ht="14.4" hidden="1" customHeight="1" x14ac:dyDescent="0.3">
      <c r="A196" s="29" t="s">
        <v>759</v>
      </c>
      <c r="B196" s="15"/>
      <c r="C196" s="16" t="e">
        <f>IF([2]!Artículos4[[#This Row],[Proveedor (código)]]="","",VLOOKUP([2]!Artículos4[[#This Row],[Proveedor (código)]],[2]Proveedores!A:B,2,FALSE))</f>
        <v>#REF!</v>
      </c>
      <c r="D196" s="29" t="s">
        <v>280</v>
      </c>
      <c r="E196" s="29" t="s">
        <v>52</v>
      </c>
      <c r="F196" s="51"/>
      <c r="G196" s="14"/>
      <c r="H196" s="14"/>
      <c r="I196" s="14"/>
      <c r="J196" s="16">
        <f>SUMIFS(Entradas!G:G,Entradas!E:E,Artículos[[#This Row],[Código]])</f>
        <v>0</v>
      </c>
      <c r="K196" s="16">
        <f>SUMIFS(Salidas!G:G,Salidas!E:E,Artículos[[#This Row],[Código]])</f>
        <v>0</v>
      </c>
      <c r="L196" s="16">
        <f>Artículos[[#This Row],[Existencias iniciales]]+Artículos[[#This Row],[Entradas]]-Artículos[[#This Row],[Salidas]]</f>
        <v>0</v>
      </c>
      <c r="M196" s="16"/>
      <c r="N196" s="16"/>
    </row>
    <row r="197" spans="1:14" ht="14.4" hidden="1" customHeight="1" x14ac:dyDescent="0.3">
      <c r="A197" s="29" t="s">
        <v>760</v>
      </c>
      <c r="B197" s="15"/>
      <c r="C197" s="16" t="e">
        <f>IF([2]!Artículos4[[#This Row],[Proveedor (código)]]="","",VLOOKUP([2]!Artículos4[[#This Row],[Proveedor (código)]],[2]Proveedores!A:B,2,FALSE))</f>
        <v>#REF!</v>
      </c>
      <c r="D197" s="29" t="s">
        <v>281</v>
      </c>
      <c r="E197" s="29" t="s">
        <v>52</v>
      </c>
      <c r="F197" s="51"/>
      <c r="G197" s="14"/>
      <c r="H197" s="14"/>
      <c r="I197" s="14"/>
      <c r="J197" s="16">
        <f>SUMIFS(Entradas!G:G,Entradas!E:E,Artículos[[#This Row],[Código]])</f>
        <v>0</v>
      </c>
      <c r="K197" s="16">
        <f>SUMIFS(Salidas!G:G,Salidas!E:E,Artículos[[#This Row],[Código]])</f>
        <v>0</v>
      </c>
      <c r="L197" s="16">
        <f>Artículos[[#This Row],[Existencias iniciales]]+Artículos[[#This Row],[Entradas]]-Artículos[[#This Row],[Salidas]]</f>
        <v>0</v>
      </c>
      <c r="M197" s="16"/>
      <c r="N197" s="16"/>
    </row>
    <row r="198" spans="1:14" ht="14.4" hidden="1" customHeight="1" x14ac:dyDescent="0.3">
      <c r="A198" s="29" t="s">
        <v>761</v>
      </c>
      <c r="B198" s="15"/>
      <c r="C198" s="16" t="e">
        <f>IF([2]!Artículos4[[#This Row],[Proveedor (código)]]="","",VLOOKUP([2]!Artículos4[[#This Row],[Proveedor (código)]],[2]Proveedores!A:B,2,FALSE))</f>
        <v>#REF!</v>
      </c>
      <c r="D198" s="29" t="s">
        <v>282</v>
      </c>
      <c r="E198" s="29" t="s">
        <v>52</v>
      </c>
      <c r="F198" s="51"/>
      <c r="G198" s="14"/>
      <c r="H198" s="14"/>
      <c r="I198" s="14"/>
      <c r="J198" s="16">
        <f>SUMIFS(Entradas!G:G,Entradas!E:E,Artículos[[#This Row],[Código]])</f>
        <v>0</v>
      </c>
      <c r="K198" s="16">
        <f>SUMIFS(Salidas!G:G,Salidas!E:E,Artículos[[#This Row],[Código]])</f>
        <v>0</v>
      </c>
      <c r="L198" s="16">
        <f>Artículos[[#This Row],[Existencias iniciales]]+Artículos[[#This Row],[Entradas]]-Artículos[[#This Row],[Salidas]]</f>
        <v>0</v>
      </c>
      <c r="M198" s="16"/>
      <c r="N198" s="16"/>
    </row>
    <row r="199" spans="1:14" ht="14.4" hidden="1" customHeight="1" x14ac:dyDescent="0.3">
      <c r="A199" s="29" t="s">
        <v>762</v>
      </c>
      <c r="B199" s="15"/>
      <c r="C199" s="16" t="e">
        <f>IF([2]!Artículos4[[#This Row],[Proveedor (código)]]="","",VLOOKUP([2]!Artículos4[[#This Row],[Proveedor (código)]],[2]Proveedores!A:B,2,FALSE))</f>
        <v>#REF!</v>
      </c>
      <c r="D199" s="29" t="s">
        <v>283</v>
      </c>
      <c r="E199" s="29" t="s">
        <v>52</v>
      </c>
      <c r="F199" s="51"/>
      <c r="G199" s="14"/>
      <c r="H199" s="14"/>
      <c r="I199" s="14"/>
      <c r="J199" s="16">
        <f>SUMIFS(Entradas!G:G,Entradas!E:E,Artículos[[#This Row],[Código]])</f>
        <v>0</v>
      </c>
      <c r="K199" s="16">
        <f>SUMIFS(Salidas!G:G,Salidas!E:E,Artículos[[#This Row],[Código]])</f>
        <v>0</v>
      </c>
      <c r="L199" s="16">
        <f>Artículos[[#This Row],[Existencias iniciales]]+Artículos[[#This Row],[Entradas]]-Artículos[[#This Row],[Salidas]]</f>
        <v>0</v>
      </c>
      <c r="M199" s="16"/>
      <c r="N199" s="16"/>
    </row>
    <row r="200" spans="1:14" ht="14.4" hidden="1" customHeight="1" x14ac:dyDescent="0.3">
      <c r="A200" s="29" t="s">
        <v>763</v>
      </c>
      <c r="B200" s="15"/>
      <c r="C200" s="16" t="e">
        <f>IF([2]!Artículos4[[#This Row],[Proveedor (código)]]="","",VLOOKUP([2]!Artículos4[[#This Row],[Proveedor (código)]],[2]Proveedores!A:B,2,FALSE))</f>
        <v>#REF!</v>
      </c>
      <c r="D200" s="29" t="s">
        <v>284</v>
      </c>
      <c r="E200" s="29" t="s">
        <v>52</v>
      </c>
      <c r="F200" s="51"/>
      <c r="G200" s="14"/>
      <c r="H200" s="14"/>
      <c r="I200" s="14"/>
      <c r="J200" s="16">
        <f>SUMIFS(Entradas!G:G,Entradas!E:E,Artículos[[#This Row],[Código]])</f>
        <v>0</v>
      </c>
      <c r="K200" s="16">
        <f>SUMIFS(Salidas!G:G,Salidas!E:E,Artículos[[#This Row],[Código]])</f>
        <v>0</v>
      </c>
      <c r="L200" s="16">
        <f>Artículos[[#This Row],[Existencias iniciales]]+Artículos[[#This Row],[Entradas]]-Artículos[[#This Row],[Salidas]]</f>
        <v>0</v>
      </c>
      <c r="M200" s="16"/>
      <c r="N200" s="16"/>
    </row>
    <row r="201" spans="1:14" ht="14.4" hidden="1" customHeight="1" x14ac:dyDescent="0.3">
      <c r="A201" s="29" t="s">
        <v>764</v>
      </c>
      <c r="B201" s="15"/>
      <c r="C201" s="16" t="e">
        <f>IF([2]!Artículos4[[#This Row],[Proveedor (código)]]="","",VLOOKUP([2]!Artículos4[[#This Row],[Proveedor (código)]],[2]Proveedores!A:B,2,FALSE))</f>
        <v>#REF!</v>
      </c>
      <c r="D201" s="29" t="s">
        <v>285</v>
      </c>
      <c r="E201" s="29" t="s">
        <v>52</v>
      </c>
      <c r="F201" s="51"/>
      <c r="G201" s="14"/>
      <c r="H201" s="14"/>
      <c r="I201" s="14"/>
      <c r="J201" s="16">
        <f>SUMIFS(Entradas!G:G,Entradas!E:E,Artículos[[#This Row],[Código]])</f>
        <v>0</v>
      </c>
      <c r="K201" s="16">
        <f>SUMIFS(Salidas!G:G,Salidas!E:E,Artículos[[#This Row],[Código]])</f>
        <v>0</v>
      </c>
      <c r="L201" s="16">
        <f>Artículos[[#This Row],[Existencias iniciales]]+Artículos[[#This Row],[Entradas]]-Artículos[[#This Row],[Salidas]]</f>
        <v>0</v>
      </c>
      <c r="M201" s="16"/>
      <c r="N201" s="16"/>
    </row>
    <row r="202" spans="1:14" ht="14.4" hidden="1" customHeight="1" x14ac:dyDescent="0.3">
      <c r="A202" s="29" t="s">
        <v>765</v>
      </c>
      <c r="B202" s="15"/>
      <c r="C202" s="16" t="e">
        <f>IF([2]!Artículos4[[#This Row],[Proveedor (código)]]="","",VLOOKUP([2]!Artículos4[[#This Row],[Proveedor (código)]],[2]Proveedores!A:B,2,FALSE))</f>
        <v>#REF!</v>
      </c>
      <c r="D202" s="29" t="s">
        <v>286</v>
      </c>
      <c r="E202" s="29" t="s">
        <v>52</v>
      </c>
      <c r="F202" s="51"/>
      <c r="G202" s="14"/>
      <c r="H202" s="14"/>
      <c r="I202" s="14">
        <v>2</v>
      </c>
      <c r="J202" s="16">
        <f>SUMIFS(Entradas!G:G,Entradas!E:E,Artículos[[#This Row],[Código]])</f>
        <v>0</v>
      </c>
      <c r="K202" s="16">
        <f>SUMIFS(Salidas!G:G,Salidas!E:E,Artículos[[#This Row],[Código]])</f>
        <v>0</v>
      </c>
      <c r="L202" s="16">
        <f>Artículos[[#This Row],[Existencias iniciales]]+Artículos[[#This Row],[Entradas]]-Artículos[[#This Row],[Salidas]]</f>
        <v>2</v>
      </c>
      <c r="M202" s="16"/>
      <c r="N202" s="16"/>
    </row>
    <row r="203" spans="1:14" ht="14.4" hidden="1" customHeight="1" x14ac:dyDescent="0.3">
      <c r="A203" s="29" t="s">
        <v>766</v>
      </c>
      <c r="B203" s="15"/>
      <c r="C203" s="16" t="e">
        <f>IF([2]!Artículos4[[#This Row],[Proveedor (código)]]="","",VLOOKUP([2]!Artículos4[[#This Row],[Proveedor (código)]],[2]Proveedores!A:B,2,FALSE))</f>
        <v>#REF!</v>
      </c>
      <c r="D203" s="29" t="s">
        <v>287</v>
      </c>
      <c r="E203" s="29" t="s">
        <v>52</v>
      </c>
      <c r="F203" s="51"/>
      <c r="G203" s="14"/>
      <c r="H203" s="14"/>
      <c r="I203" s="14"/>
      <c r="J203" s="16">
        <f>SUMIFS(Entradas!G:G,Entradas!E:E,Artículos[[#This Row],[Código]])</f>
        <v>0</v>
      </c>
      <c r="K203" s="16">
        <f>SUMIFS(Salidas!G:G,Salidas!E:E,Artículos[[#This Row],[Código]])</f>
        <v>0</v>
      </c>
      <c r="L203" s="16">
        <f>Artículos[[#This Row],[Existencias iniciales]]+Artículos[[#This Row],[Entradas]]-Artículos[[#This Row],[Salidas]]</f>
        <v>0</v>
      </c>
      <c r="M203" s="16"/>
      <c r="N203" s="16"/>
    </row>
    <row r="204" spans="1:14" ht="14.4" hidden="1" customHeight="1" x14ac:dyDescent="0.3">
      <c r="A204" s="29" t="s">
        <v>767</v>
      </c>
      <c r="B204" s="15"/>
      <c r="C204" s="16" t="e">
        <f>IF([2]!Artículos4[[#This Row],[Proveedor (código)]]="","",VLOOKUP([2]!Artículos4[[#This Row],[Proveedor (código)]],[2]Proveedores!A:B,2,FALSE))</f>
        <v>#REF!</v>
      </c>
      <c r="D204" s="29" t="s">
        <v>1402</v>
      </c>
      <c r="E204" s="29" t="s">
        <v>52</v>
      </c>
      <c r="F204" s="51"/>
      <c r="G204" s="14"/>
      <c r="H204" s="14"/>
      <c r="I204" s="14"/>
      <c r="J204" s="16">
        <f>SUMIFS(Entradas!G:G,Entradas!E:E,Artículos[[#This Row],[Código]])</f>
        <v>0</v>
      </c>
      <c r="K204" s="16">
        <f>SUMIFS(Salidas!G:G,Salidas!E:E,Artículos[[#This Row],[Código]])</f>
        <v>0</v>
      </c>
      <c r="L204" s="16">
        <f>Artículos[[#This Row],[Existencias iniciales]]+Artículos[[#This Row],[Entradas]]-Artículos[[#This Row],[Salidas]]</f>
        <v>0</v>
      </c>
      <c r="M204" s="16"/>
      <c r="N204" s="16"/>
    </row>
    <row r="205" spans="1:14" ht="14.4" hidden="1" customHeight="1" x14ac:dyDescent="0.3">
      <c r="A205" s="29" t="s">
        <v>768</v>
      </c>
      <c r="B205" s="15"/>
      <c r="C205" s="16" t="e">
        <f>IF([2]!Artículos4[[#This Row],[Proveedor (código)]]="","",VLOOKUP([2]!Artículos4[[#This Row],[Proveedor (código)]],[2]Proveedores!A:B,2,FALSE))</f>
        <v>#REF!</v>
      </c>
      <c r="D205" s="29"/>
      <c r="E205" s="29" t="s">
        <v>52</v>
      </c>
      <c r="F205" s="51"/>
      <c r="G205" s="14"/>
      <c r="H205" s="14"/>
      <c r="I205" s="14"/>
      <c r="J205" s="16">
        <f>SUMIFS(Entradas!G:G,Entradas!E:E,Artículos[[#This Row],[Código]])</f>
        <v>0</v>
      </c>
      <c r="K205" s="16">
        <f>SUMIFS(Salidas!G:G,Salidas!E:E,Artículos[[#This Row],[Código]])</f>
        <v>0</v>
      </c>
      <c r="L205" s="16">
        <f>Artículos[[#This Row],[Existencias iniciales]]+Artículos[[#This Row],[Entradas]]-Artículos[[#This Row],[Salidas]]</f>
        <v>0</v>
      </c>
      <c r="M205" s="16"/>
      <c r="N205" s="16"/>
    </row>
    <row r="206" spans="1:14" ht="14.4" hidden="1" customHeight="1" x14ac:dyDescent="0.3">
      <c r="A206" s="29" t="s">
        <v>769</v>
      </c>
      <c r="B206" s="15"/>
      <c r="C206" s="16" t="e">
        <f>IF([2]!Artículos4[[#This Row],[Proveedor (código)]]="","",VLOOKUP([2]!Artículos4[[#This Row],[Proveedor (código)]],[2]Proveedores!A:B,2,FALSE))</f>
        <v>#REF!</v>
      </c>
      <c r="D206" s="29"/>
      <c r="E206" s="29" t="s">
        <v>52</v>
      </c>
      <c r="F206" s="51"/>
      <c r="G206" s="14"/>
      <c r="H206" s="14"/>
      <c r="I206" s="14"/>
      <c r="J206" s="16">
        <f>SUMIFS(Entradas!G:G,Entradas!E:E,Artículos[[#This Row],[Código]])</f>
        <v>0</v>
      </c>
      <c r="K206" s="16">
        <f>SUMIFS(Salidas!G:G,Salidas!E:E,Artículos[[#This Row],[Código]])</f>
        <v>0</v>
      </c>
      <c r="L206" s="16">
        <f>Artículos[[#This Row],[Existencias iniciales]]+Artículos[[#This Row],[Entradas]]-Artículos[[#This Row],[Salidas]]</f>
        <v>0</v>
      </c>
      <c r="M206" s="16"/>
      <c r="N206" s="16"/>
    </row>
    <row r="207" spans="1:14" ht="14.4" hidden="1" customHeight="1" x14ac:dyDescent="0.3">
      <c r="A207" s="29" t="s">
        <v>770</v>
      </c>
      <c r="B207" s="15"/>
      <c r="C207" s="16" t="e">
        <f>IF([2]!Artículos4[[#This Row],[Proveedor (código)]]="","",VLOOKUP([2]!Artículos4[[#This Row],[Proveedor (código)]],[2]Proveedores!A:B,2,FALSE))</f>
        <v>#REF!</v>
      </c>
      <c r="D207" s="29"/>
      <c r="E207" s="29" t="s">
        <v>52</v>
      </c>
      <c r="F207" s="51"/>
      <c r="G207" s="14"/>
      <c r="H207" s="14"/>
      <c r="I207" s="14"/>
      <c r="J207" s="16">
        <f>SUMIFS(Entradas!G:G,Entradas!E:E,Artículos[[#This Row],[Código]])</f>
        <v>0</v>
      </c>
      <c r="K207" s="16">
        <f>SUMIFS(Salidas!G:G,Salidas!E:E,Artículos[[#This Row],[Código]])</f>
        <v>0</v>
      </c>
      <c r="L207" s="16">
        <f>Artículos[[#This Row],[Existencias iniciales]]+Artículos[[#This Row],[Entradas]]-Artículos[[#This Row],[Salidas]]</f>
        <v>0</v>
      </c>
      <c r="M207" s="16"/>
      <c r="N207" s="16"/>
    </row>
    <row r="208" spans="1:14" ht="14.4" hidden="1" customHeight="1" x14ac:dyDescent="0.3">
      <c r="A208" s="29" t="s">
        <v>771</v>
      </c>
      <c r="B208" s="15"/>
      <c r="C208" s="16" t="e">
        <f>IF([2]!Artículos4[[#This Row],[Proveedor (código)]]="","",VLOOKUP([2]!Artículos4[[#This Row],[Proveedor (código)]],[2]Proveedores!A:B,2,FALSE))</f>
        <v>#REF!</v>
      </c>
      <c r="D208" s="29"/>
      <c r="E208" s="29" t="s">
        <v>52</v>
      </c>
      <c r="F208" s="51"/>
      <c r="G208" s="14"/>
      <c r="H208" s="14"/>
      <c r="I208" s="14"/>
      <c r="J208" s="16">
        <f>SUMIFS(Entradas!G:G,Entradas!E:E,Artículos[[#This Row],[Código]])</f>
        <v>0</v>
      </c>
      <c r="K208" s="16">
        <f>SUMIFS(Salidas!G:G,Salidas!E:E,Artículos[[#This Row],[Código]])</f>
        <v>0</v>
      </c>
      <c r="L208" s="16">
        <f>Artículos[[#This Row],[Existencias iniciales]]+Artículos[[#This Row],[Entradas]]-Artículos[[#This Row],[Salidas]]</f>
        <v>0</v>
      </c>
      <c r="M208" s="16"/>
      <c r="N208" s="16"/>
    </row>
    <row r="209" spans="1:14" ht="14.4" hidden="1" customHeight="1" x14ac:dyDescent="0.3">
      <c r="A209" s="29" t="s">
        <v>772</v>
      </c>
      <c r="B209" s="15"/>
      <c r="C209" s="16" t="e">
        <f>IF([2]!Artículos4[[#This Row],[Proveedor (código)]]="","",VLOOKUP([2]!Artículos4[[#This Row],[Proveedor (código)]],[2]Proveedores!A:B,2,FALSE))</f>
        <v>#REF!</v>
      </c>
      <c r="D209" s="29"/>
      <c r="E209" s="29" t="s">
        <v>52</v>
      </c>
      <c r="F209" s="51"/>
      <c r="G209" s="14"/>
      <c r="H209" s="14"/>
      <c r="I209" s="14"/>
      <c r="J209" s="16">
        <f>SUMIFS(Entradas!G:G,Entradas!E:E,Artículos[[#This Row],[Código]])</f>
        <v>0</v>
      </c>
      <c r="K209" s="16">
        <f>SUMIFS(Salidas!G:G,Salidas!E:E,Artículos[[#This Row],[Código]])</f>
        <v>0</v>
      </c>
      <c r="L209" s="16">
        <f>Artículos[[#This Row],[Existencias iniciales]]+Artículos[[#This Row],[Entradas]]-Artículos[[#This Row],[Salidas]]</f>
        <v>0</v>
      </c>
      <c r="M209" s="16"/>
      <c r="N209" s="16"/>
    </row>
    <row r="210" spans="1:14" ht="14.4" hidden="1" customHeight="1" x14ac:dyDescent="0.3">
      <c r="A210" s="29" t="s">
        <v>1018</v>
      </c>
      <c r="B210" s="15"/>
      <c r="C210" s="16" t="e">
        <f>IF([2]!Artículos4[[#This Row],[Proveedor (código)]]="","",VLOOKUP([2]!Artículos4[[#This Row],[Proveedor (código)]],[2]Proveedores!A:B,2,FALSE))</f>
        <v>#REF!</v>
      </c>
      <c r="D210" s="29" t="s">
        <v>288</v>
      </c>
      <c r="E210" s="29" t="s">
        <v>289</v>
      </c>
      <c r="F210" s="51"/>
      <c r="G210" s="14"/>
      <c r="H210" s="14"/>
      <c r="I210" s="14"/>
      <c r="J210" s="16">
        <f>SUMIFS(Entradas!G:G,Entradas!E:E,Artículos[[#This Row],[Código]])</f>
        <v>0</v>
      </c>
      <c r="K210" s="16">
        <f>SUMIFS(Salidas!G:G,Salidas!E:E,Artículos[[#This Row],[Código]])</f>
        <v>0</v>
      </c>
      <c r="L210" s="16">
        <f>Artículos[[#This Row],[Existencias iniciales]]+Artículos[[#This Row],[Entradas]]-Artículos[[#This Row],[Salidas]]</f>
        <v>0</v>
      </c>
      <c r="M210" s="16"/>
      <c r="N210" s="16"/>
    </row>
    <row r="211" spans="1:14" ht="14.4" hidden="1" customHeight="1" x14ac:dyDescent="0.3">
      <c r="A211" s="29" t="s">
        <v>1019</v>
      </c>
      <c r="B211" s="15"/>
      <c r="C211" s="16" t="e">
        <f>IF([2]!Artículos4[[#This Row],[Proveedor (código)]]="","",VLOOKUP([2]!Artículos4[[#This Row],[Proveedor (código)]],[2]Proveedores!A:B,2,FALSE))</f>
        <v>#REF!</v>
      </c>
      <c r="D211" s="29" t="s">
        <v>290</v>
      </c>
      <c r="E211" s="29" t="s">
        <v>289</v>
      </c>
      <c r="F211" s="51"/>
      <c r="G211" s="14"/>
      <c r="H211" s="14"/>
      <c r="I211" s="14"/>
      <c r="J211" s="16">
        <f>SUMIFS(Entradas!G:G,Entradas!E:E,Artículos[[#This Row],[Código]])</f>
        <v>0</v>
      </c>
      <c r="K211" s="16">
        <f>SUMIFS(Salidas!G:G,Salidas!E:E,Artículos[[#This Row],[Código]])</f>
        <v>0</v>
      </c>
      <c r="L211" s="16">
        <f>Artículos[[#This Row],[Existencias iniciales]]+Artículos[[#This Row],[Entradas]]-Artículos[[#This Row],[Salidas]]</f>
        <v>0</v>
      </c>
      <c r="M211" s="16"/>
      <c r="N211" s="16"/>
    </row>
    <row r="212" spans="1:14" ht="14.4" hidden="1" customHeight="1" x14ac:dyDescent="0.3">
      <c r="A212" s="29" t="s">
        <v>1020</v>
      </c>
      <c r="B212" s="15"/>
      <c r="C212" s="16" t="e">
        <f>IF([2]!Artículos4[[#This Row],[Proveedor (código)]]="","",VLOOKUP([2]!Artículos4[[#This Row],[Proveedor (código)]],[2]Proveedores!A:B,2,FALSE))</f>
        <v>#REF!</v>
      </c>
      <c r="D212" s="29" t="s">
        <v>291</v>
      </c>
      <c r="E212" s="29" t="s">
        <v>289</v>
      </c>
      <c r="F212" s="51"/>
      <c r="G212" s="14"/>
      <c r="H212" s="14"/>
      <c r="I212" s="14"/>
      <c r="J212" s="16">
        <f>SUMIFS(Entradas!G:G,Entradas!E:E,Artículos[[#This Row],[Código]])</f>
        <v>0</v>
      </c>
      <c r="K212" s="16">
        <f>SUMIFS(Salidas!G:G,Salidas!E:E,Artículos[[#This Row],[Código]])</f>
        <v>0</v>
      </c>
      <c r="L212" s="16">
        <f>Artículos[[#This Row],[Existencias iniciales]]+Artículos[[#This Row],[Entradas]]-Artículos[[#This Row],[Salidas]]</f>
        <v>0</v>
      </c>
      <c r="M212" s="16"/>
      <c r="N212" s="16"/>
    </row>
    <row r="213" spans="1:14" ht="14.4" hidden="1" customHeight="1" x14ac:dyDescent="0.3">
      <c r="A213" s="29" t="s">
        <v>1021</v>
      </c>
      <c r="B213" s="15"/>
      <c r="C213" s="16" t="e">
        <f>IF([2]!Artículos4[[#This Row],[Proveedor (código)]]="","",VLOOKUP([2]!Artículos4[[#This Row],[Proveedor (código)]],[2]Proveedores!A:B,2,FALSE))</f>
        <v>#REF!</v>
      </c>
      <c r="D213" s="29" t="s">
        <v>292</v>
      </c>
      <c r="E213" s="29" t="s">
        <v>289</v>
      </c>
      <c r="F213" s="51"/>
      <c r="G213" s="14"/>
      <c r="H213" s="14"/>
      <c r="I213" s="14">
        <v>2</v>
      </c>
      <c r="J213" s="16">
        <f>SUMIFS(Entradas!G:G,Entradas!E:E,Artículos[[#This Row],[Código]])</f>
        <v>1</v>
      </c>
      <c r="K213" s="16">
        <f>SUMIFS(Salidas!G:G,Salidas!E:E,Artículos[[#This Row],[Código]])</f>
        <v>0</v>
      </c>
      <c r="L213" s="16">
        <f>Artículos[[#This Row],[Existencias iniciales]]+Artículos[[#This Row],[Entradas]]-Artículos[[#This Row],[Salidas]]</f>
        <v>3</v>
      </c>
      <c r="M213" s="16"/>
      <c r="N213" s="16"/>
    </row>
    <row r="214" spans="1:14" ht="14.4" hidden="1" customHeight="1" x14ac:dyDescent="0.3">
      <c r="A214" s="29" t="s">
        <v>1022</v>
      </c>
      <c r="B214" s="15"/>
      <c r="C214" s="16" t="e">
        <f>IF([2]!Artículos4[[#This Row],[Proveedor (código)]]="","",VLOOKUP([2]!Artículos4[[#This Row],[Proveedor (código)]],[2]Proveedores!A:B,2,FALSE))</f>
        <v>#REF!</v>
      </c>
      <c r="D214" s="29" t="s">
        <v>293</v>
      </c>
      <c r="E214" s="29" t="s">
        <v>289</v>
      </c>
      <c r="F214" s="51"/>
      <c r="G214" s="14"/>
      <c r="H214" s="14"/>
      <c r="I214" s="14"/>
      <c r="J214" s="16">
        <f>SUMIFS(Entradas!G:G,Entradas!E:E,Artículos[[#This Row],[Código]])</f>
        <v>0</v>
      </c>
      <c r="K214" s="16">
        <f>SUMIFS(Salidas!G:G,Salidas!E:E,Artículos[[#This Row],[Código]])</f>
        <v>0</v>
      </c>
      <c r="L214" s="16">
        <f>Artículos[[#This Row],[Existencias iniciales]]+Artículos[[#This Row],[Entradas]]-Artículos[[#This Row],[Salidas]]</f>
        <v>0</v>
      </c>
      <c r="M214" s="16"/>
      <c r="N214" s="16"/>
    </row>
    <row r="215" spans="1:14" ht="14.4" hidden="1" customHeight="1" x14ac:dyDescent="0.3">
      <c r="A215" s="29" t="s">
        <v>1023</v>
      </c>
      <c r="B215" s="15"/>
      <c r="C215" s="16" t="e">
        <f>IF([2]!Artículos4[[#This Row],[Proveedor (código)]]="","",VLOOKUP([2]!Artículos4[[#This Row],[Proveedor (código)]],[2]Proveedores!A:B,2,FALSE))</f>
        <v>#REF!</v>
      </c>
      <c r="D215" s="29" t="s">
        <v>294</v>
      </c>
      <c r="E215" s="29" t="s">
        <v>289</v>
      </c>
      <c r="F215" s="51"/>
      <c r="G215" s="14"/>
      <c r="H215" s="14"/>
      <c r="I215" s="14"/>
      <c r="J215" s="16">
        <f>SUMIFS(Entradas!G:G,Entradas!E:E,Artículos[[#This Row],[Código]])</f>
        <v>0</v>
      </c>
      <c r="K215" s="16">
        <f>SUMIFS(Salidas!G:G,Salidas!E:E,Artículos[[#This Row],[Código]])</f>
        <v>0</v>
      </c>
      <c r="L215" s="16">
        <f>Artículos[[#This Row],[Existencias iniciales]]+Artículos[[#This Row],[Entradas]]-Artículos[[#This Row],[Salidas]]</f>
        <v>0</v>
      </c>
      <c r="M215" s="16"/>
      <c r="N215" s="16"/>
    </row>
    <row r="216" spans="1:14" ht="14.4" hidden="1" customHeight="1" x14ac:dyDescent="0.3">
      <c r="A216" s="29" t="s">
        <v>1024</v>
      </c>
      <c r="B216" s="15"/>
      <c r="C216" s="16" t="e">
        <f>IF([2]!Artículos4[[#This Row],[Proveedor (código)]]="","",VLOOKUP([2]!Artículos4[[#This Row],[Proveedor (código)]],[2]Proveedores!A:B,2,FALSE))</f>
        <v>#REF!</v>
      </c>
      <c r="D216" s="29" t="s">
        <v>295</v>
      </c>
      <c r="E216" s="29" t="s">
        <v>289</v>
      </c>
      <c r="F216" s="51"/>
      <c r="G216" s="14"/>
      <c r="H216" s="14"/>
      <c r="I216" s="14"/>
      <c r="J216" s="16">
        <f>SUMIFS(Entradas!G:G,Entradas!E:E,Artículos[[#This Row],[Código]])</f>
        <v>0</v>
      </c>
      <c r="K216" s="16">
        <f>SUMIFS(Salidas!G:G,Salidas!E:E,Artículos[[#This Row],[Código]])</f>
        <v>0</v>
      </c>
      <c r="L216" s="16">
        <f>Artículos[[#This Row],[Existencias iniciales]]+Artículos[[#This Row],[Entradas]]-Artículos[[#This Row],[Salidas]]</f>
        <v>0</v>
      </c>
      <c r="M216" s="16"/>
      <c r="N216" s="16"/>
    </row>
    <row r="217" spans="1:14" ht="14.4" hidden="1" customHeight="1" x14ac:dyDescent="0.3">
      <c r="A217" s="29" t="s">
        <v>1025</v>
      </c>
      <c r="B217" s="15"/>
      <c r="C217" s="16" t="e">
        <f>IF([2]!Artículos4[[#This Row],[Proveedor (código)]]="","",VLOOKUP([2]!Artículos4[[#This Row],[Proveedor (código)]],[2]Proveedores!A:B,2,FALSE))</f>
        <v>#REF!</v>
      </c>
      <c r="D217" s="29" t="s">
        <v>296</v>
      </c>
      <c r="E217" s="29" t="s">
        <v>289</v>
      </c>
      <c r="F217" s="51"/>
      <c r="G217" s="14"/>
      <c r="H217" s="14"/>
      <c r="I217" s="14"/>
      <c r="J217" s="16">
        <f>SUMIFS(Entradas!G:G,Entradas!E:E,Artículos[[#This Row],[Código]])</f>
        <v>0</v>
      </c>
      <c r="K217" s="16">
        <f>SUMIFS(Salidas!G:G,Salidas!E:E,Artículos[[#This Row],[Código]])</f>
        <v>0</v>
      </c>
      <c r="L217" s="16">
        <f>Artículos[[#This Row],[Existencias iniciales]]+Artículos[[#This Row],[Entradas]]-Artículos[[#This Row],[Salidas]]</f>
        <v>0</v>
      </c>
      <c r="M217" s="16"/>
      <c r="N217" s="16"/>
    </row>
    <row r="218" spans="1:14" ht="14.4" hidden="1" customHeight="1" x14ac:dyDescent="0.3">
      <c r="A218" s="29" t="s">
        <v>1026</v>
      </c>
      <c r="B218" s="15"/>
      <c r="C218" s="16" t="e">
        <f>IF([2]!Artículos4[[#This Row],[Proveedor (código)]]="","",VLOOKUP([2]!Artículos4[[#This Row],[Proveedor (código)]],[2]Proveedores!A:B,2,FALSE))</f>
        <v>#REF!</v>
      </c>
      <c r="D218" s="29" t="s">
        <v>297</v>
      </c>
      <c r="E218" s="29" t="s">
        <v>289</v>
      </c>
      <c r="F218" s="51"/>
      <c r="G218" s="14"/>
      <c r="H218" s="14"/>
      <c r="I218" s="14"/>
      <c r="J218" s="16">
        <f>SUMIFS(Entradas!G:G,Entradas!E:E,Artículos[[#This Row],[Código]])</f>
        <v>0</v>
      </c>
      <c r="K218" s="16">
        <f>SUMIFS(Salidas!G:G,Salidas!E:E,Artículos[[#This Row],[Código]])</f>
        <v>0</v>
      </c>
      <c r="L218" s="16">
        <f>Artículos[[#This Row],[Existencias iniciales]]+Artículos[[#This Row],[Entradas]]-Artículos[[#This Row],[Salidas]]</f>
        <v>0</v>
      </c>
      <c r="M218" s="16"/>
      <c r="N218" s="16"/>
    </row>
    <row r="219" spans="1:14" ht="14.4" hidden="1" customHeight="1" x14ac:dyDescent="0.3">
      <c r="A219" s="29" t="s">
        <v>1027</v>
      </c>
      <c r="B219" s="15"/>
      <c r="C219" s="16" t="e">
        <f>IF([2]!Artículos4[[#This Row],[Proveedor (código)]]="","",VLOOKUP([2]!Artículos4[[#This Row],[Proveedor (código)]],[2]Proveedores!A:B,2,FALSE))</f>
        <v>#REF!</v>
      </c>
      <c r="D219" s="29" t="s">
        <v>298</v>
      </c>
      <c r="E219" s="29" t="s">
        <v>289</v>
      </c>
      <c r="F219" s="51"/>
      <c r="G219" s="14"/>
      <c r="H219" s="14"/>
      <c r="I219" s="38"/>
      <c r="J219" s="16">
        <f>SUMIFS(Entradas!G:G,Entradas!E:E,Artículos[[#This Row],[Código]])</f>
        <v>0</v>
      </c>
      <c r="K219" s="16">
        <f>SUMIFS(Salidas!G:G,Salidas!E:E,Artículos[[#This Row],[Código]])</f>
        <v>0</v>
      </c>
      <c r="L219" s="16">
        <f>Artículos[[#This Row],[Existencias iniciales]]+Artículos[[#This Row],[Entradas]]-Artículos[[#This Row],[Salidas]]</f>
        <v>0</v>
      </c>
      <c r="M219" s="16"/>
      <c r="N219" s="16"/>
    </row>
    <row r="220" spans="1:14" ht="14.4" hidden="1" customHeight="1" x14ac:dyDescent="0.3">
      <c r="A220" s="29" t="s">
        <v>1028</v>
      </c>
      <c r="B220" s="15"/>
      <c r="C220" s="16" t="e">
        <f>IF([2]!Artículos4[[#This Row],[Proveedor (código)]]="","",VLOOKUP([2]!Artículos4[[#This Row],[Proveedor (código)]],[2]Proveedores!A:B,2,FALSE))</f>
        <v>#REF!</v>
      </c>
      <c r="D220" s="29" t="s">
        <v>299</v>
      </c>
      <c r="E220" s="29" t="s">
        <v>289</v>
      </c>
      <c r="F220" s="51"/>
      <c r="G220" s="14"/>
      <c r="H220" s="14"/>
      <c r="I220" s="14"/>
      <c r="J220" s="16">
        <f>SUMIFS(Entradas!G:G,Entradas!E:E,Artículos[[#This Row],[Código]])</f>
        <v>0</v>
      </c>
      <c r="K220" s="16">
        <f>SUMIFS(Salidas!G:G,Salidas!E:E,Artículos[[#This Row],[Código]])</f>
        <v>0</v>
      </c>
      <c r="L220" s="16">
        <f>Artículos[[#This Row],[Existencias iniciales]]+Artículos[[#This Row],[Entradas]]-Artículos[[#This Row],[Salidas]]</f>
        <v>0</v>
      </c>
      <c r="M220" s="16"/>
      <c r="N220" s="16"/>
    </row>
    <row r="221" spans="1:14" ht="14.4" hidden="1" customHeight="1" x14ac:dyDescent="0.3">
      <c r="A221" s="29" t="s">
        <v>1029</v>
      </c>
      <c r="B221" s="15"/>
      <c r="C221" s="16" t="e">
        <f>IF([2]!Artículos4[[#This Row],[Proveedor (código)]]="","",VLOOKUP([2]!Artículos4[[#This Row],[Proveedor (código)]],[2]Proveedores!A:B,2,FALSE))</f>
        <v>#REF!</v>
      </c>
      <c r="D221" s="29" t="s">
        <v>300</v>
      </c>
      <c r="E221" s="29" t="s">
        <v>289</v>
      </c>
      <c r="F221" s="51"/>
      <c r="G221" s="14"/>
      <c r="H221" s="14"/>
      <c r="I221" s="14">
        <v>9</v>
      </c>
      <c r="J221" s="16">
        <f>SUMIFS(Entradas!G:G,Entradas!E:E,Artículos[[#This Row],[Código]])</f>
        <v>0</v>
      </c>
      <c r="K221" s="16">
        <f>SUMIFS(Salidas!G:G,Salidas!E:E,Artículos[[#This Row],[Código]])</f>
        <v>0</v>
      </c>
      <c r="L221" s="16">
        <f>Artículos[[#This Row],[Existencias iniciales]]+Artículos[[#This Row],[Entradas]]-Artículos[[#This Row],[Salidas]]</f>
        <v>9</v>
      </c>
      <c r="M221" s="16"/>
      <c r="N221" s="16"/>
    </row>
    <row r="222" spans="1:14" ht="14.4" hidden="1" customHeight="1" x14ac:dyDescent="0.3">
      <c r="A222" s="29" t="s">
        <v>1030</v>
      </c>
      <c r="B222" s="15"/>
      <c r="C222" s="16" t="e">
        <f>IF([2]!Artículos4[[#This Row],[Proveedor (código)]]="","",VLOOKUP([2]!Artículos4[[#This Row],[Proveedor (código)]],[2]Proveedores!A:B,2,FALSE))</f>
        <v>#REF!</v>
      </c>
      <c r="D222" s="29" t="s">
        <v>301</v>
      </c>
      <c r="E222" s="29" t="s">
        <v>289</v>
      </c>
      <c r="F222" s="51"/>
      <c r="G222" s="14"/>
      <c r="H222" s="14"/>
      <c r="I222" s="14"/>
      <c r="J222" s="16">
        <f>SUMIFS(Entradas!G:G,Entradas!E:E,Artículos[[#This Row],[Código]])</f>
        <v>0</v>
      </c>
      <c r="K222" s="16">
        <f>SUMIFS(Salidas!G:G,Salidas!E:E,Artículos[[#This Row],[Código]])</f>
        <v>0</v>
      </c>
      <c r="L222" s="16">
        <f>Artículos[[#This Row],[Existencias iniciales]]+Artículos[[#This Row],[Entradas]]-Artículos[[#This Row],[Salidas]]</f>
        <v>0</v>
      </c>
      <c r="M222" s="16"/>
      <c r="N222" s="16"/>
    </row>
    <row r="223" spans="1:14" ht="14.4" hidden="1" customHeight="1" x14ac:dyDescent="0.3">
      <c r="A223" s="29" t="s">
        <v>1031</v>
      </c>
      <c r="B223" s="15"/>
      <c r="C223" s="16" t="e">
        <f>IF([2]!Artículos4[[#This Row],[Proveedor (código)]]="","",VLOOKUP([2]!Artículos4[[#This Row],[Proveedor (código)]],[2]Proveedores!A:B,2,FALSE))</f>
        <v>#REF!</v>
      </c>
      <c r="D223" s="29" t="s">
        <v>302</v>
      </c>
      <c r="E223" s="29" t="s">
        <v>289</v>
      </c>
      <c r="F223" s="51"/>
      <c r="G223" s="14"/>
      <c r="H223" s="14"/>
      <c r="I223" s="14"/>
      <c r="J223" s="16">
        <f>SUMIFS(Entradas!G:G,Entradas!E:E,Artículos[[#This Row],[Código]])</f>
        <v>0</v>
      </c>
      <c r="K223" s="16">
        <f>SUMIFS(Salidas!G:G,Salidas!E:E,Artículos[[#This Row],[Código]])</f>
        <v>0</v>
      </c>
      <c r="L223" s="16">
        <f>Artículos[[#This Row],[Existencias iniciales]]+Artículos[[#This Row],[Entradas]]-Artículos[[#This Row],[Salidas]]</f>
        <v>0</v>
      </c>
      <c r="M223" s="16"/>
      <c r="N223" s="16"/>
    </row>
    <row r="224" spans="1:14" ht="14.4" hidden="1" customHeight="1" x14ac:dyDescent="0.3">
      <c r="A224" s="29" t="s">
        <v>1032</v>
      </c>
      <c r="B224" s="15"/>
      <c r="C224" s="16" t="e">
        <f>IF([2]!Artículos4[[#This Row],[Proveedor (código)]]="","",VLOOKUP([2]!Artículos4[[#This Row],[Proveedor (código)]],[2]Proveedores!A:B,2,FALSE))</f>
        <v>#REF!</v>
      </c>
      <c r="D224" s="29" t="s">
        <v>303</v>
      </c>
      <c r="E224" s="29" t="s">
        <v>289</v>
      </c>
      <c r="F224" s="51"/>
      <c r="G224" s="14"/>
      <c r="H224" s="14"/>
      <c r="I224" s="14">
        <v>1</v>
      </c>
      <c r="J224" s="16">
        <f>SUMIFS(Entradas!G:G,Entradas!E:E,Artículos[[#This Row],[Código]])</f>
        <v>0</v>
      </c>
      <c r="K224" s="16">
        <f>SUMIFS(Salidas!G:G,Salidas!E:E,Artículos[[#This Row],[Código]])</f>
        <v>0</v>
      </c>
      <c r="L224" s="16">
        <f>Artículos[[#This Row],[Existencias iniciales]]+Artículos[[#This Row],[Entradas]]-Artículos[[#This Row],[Salidas]]</f>
        <v>1</v>
      </c>
      <c r="M224" s="16"/>
      <c r="N224" s="16"/>
    </row>
    <row r="225" spans="1:14" ht="14.4" hidden="1" customHeight="1" x14ac:dyDescent="0.3">
      <c r="A225" s="29" t="s">
        <v>1033</v>
      </c>
      <c r="B225" s="15"/>
      <c r="C225" s="16" t="e">
        <f>IF([2]!Artículos4[[#This Row],[Proveedor (código)]]="","",VLOOKUP([2]!Artículos4[[#This Row],[Proveedor (código)]],[2]Proveedores!A:B,2,FALSE))</f>
        <v>#REF!</v>
      </c>
      <c r="D225" s="29" t="s">
        <v>304</v>
      </c>
      <c r="E225" s="29" t="s">
        <v>289</v>
      </c>
      <c r="F225" s="51"/>
      <c r="G225" s="14"/>
      <c r="H225" s="14"/>
      <c r="I225" s="14"/>
      <c r="J225" s="16">
        <f>SUMIFS(Entradas!G:G,Entradas!E:E,Artículos[[#This Row],[Código]])</f>
        <v>0</v>
      </c>
      <c r="K225" s="16">
        <f>SUMIFS(Salidas!G:G,Salidas!E:E,Artículos[[#This Row],[Código]])</f>
        <v>0</v>
      </c>
      <c r="L225" s="16">
        <f>Artículos[[#This Row],[Existencias iniciales]]+Artículos[[#This Row],[Entradas]]-Artículos[[#This Row],[Salidas]]</f>
        <v>0</v>
      </c>
      <c r="M225" s="16"/>
      <c r="N225" s="16"/>
    </row>
    <row r="226" spans="1:14" ht="14.4" hidden="1" customHeight="1" x14ac:dyDescent="0.3">
      <c r="A226" s="29" t="s">
        <v>1034</v>
      </c>
      <c r="B226" s="15"/>
      <c r="C226" s="16" t="e">
        <f>IF([2]!Artículos4[[#This Row],[Proveedor (código)]]="","",VLOOKUP([2]!Artículos4[[#This Row],[Proveedor (código)]],[2]Proveedores!A:B,2,FALSE))</f>
        <v>#REF!</v>
      </c>
      <c r="D226" s="29" t="s">
        <v>1390</v>
      </c>
      <c r="E226" s="29" t="s">
        <v>289</v>
      </c>
      <c r="F226" s="51">
        <v>11.95</v>
      </c>
      <c r="G226" s="14"/>
      <c r="H226" s="14"/>
      <c r="I226" s="14"/>
      <c r="J226" s="16">
        <f>SUMIFS(Entradas!G:G,Entradas!E:E,Artículos[[#This Row],[Código]])</f>
        <v>1</v>
      </c>
      <c r="K226" s="16">
        <f>SUMIFS(Salidas!G:G,Salidas!E:E,Artículos[[#This Row],[Código]])</f>
        <v>0</v>
      </c>
      <c r="L226" s="16">
        <f>Artículos[[#This Row],[Existencias iniciales]]+Artículos[[#This Row],[Entradas]]-Artículos[[#This Row],[Salidas]]</f>
        <v>1</v>
      </c>
      <c r="M226" s="16"/>
      <c r="N226" s="16"/>
    </row>
    <row r="227" spans="1:14" ht="14.4" hidden="1" customHeight="1" x14ac:dyDescent="0.3">
      <c r="A227" s="29" t="s">
        <v>1035</v>
      </c>
      <c r="B227" s="15"/>
      <c r="C227" s="16" t="e">
        <f>IF([2]!Artículos4[[#This Row],[Proveedor (código)]]="","",VLOOKUP([2]!Artículos4[[#This Row],[Proveedor (código)]],[2]Proveedores!A:B,2,FALSE))</f>
        <v>#REF!</v>
      </c>
      <c r="D227" s="29" t="s">
        <v>306</v>
      </c>
      <c r="E227" s="29" t="s">
        <v>289</v>
      </c>
      <c r="F227" s="51"/>
      <c r="G227" s="14"/>
      <c r="H227" s="14"/>
      <c r="I227" s="14"/>
      <c r="J227" s="16">
        <f>SUMIFS(Entradas!G:G,Entradas!E:E,Artículos[[#This Row],[Código]])</f>
        <v>0</v>
      </c>
      <c r="K227" s="16">
        <f>SUMIFS(Salidas!G:G,Salidas!E:E,Artículos[[#This Row],[Código]])</f>
        <v>0</v>
      </c>
      <c r="L227" s="16">
        <f>Artículos[[#This Row],[Existencias iniciales]]+Artículos[[#This Row],[Entradas]]-Artículos[[#This Row],[Salidas]]</f>
        <v>0</v>
      </c>
      <c r="M227" s="16"/>
      <c r="N227" s="16"/>
    </row>
    <row r="228" spans="1:14" ht="14.4" hidden="1" customHeight="1" x14ac:dyDescent="0.3">
      <c r="A228" s="29" t="s">
        <v>1036</v>
      </c>
      <c r="B228" s="15"/>
      <c r="C228" s="16" t="e">
        <f>IF([2]!Artículos4[[#This Row],[Proveedor (código)]]="","",VLOOKUP([2]!Artículos4[[#This Row],[Proveedor (código)]],[2]Proveedores!A:B,2,FALSE))</f>
        <v>#REF!</v>
      </c>
      <c r="D228" s="29" t="s">
        <v>307</v>
      </c>
      <c r="E228" s="29" t="s">
        <v>289</v>
      </c>
      <c r="F228" s="51"/>
      <c r="G228" s="14"/>
      <c r="H228" s="14"/>
      <c r="I228" s="14"/>
      <c r="J228" s="16">
        <f>SUMIFS(Entradas!G:G,Entradas!E:E,Artículos[[#This Row],[Código]])</f>
        <v>0</v>
      </c>
      <c r="K228" s="16">
        <f>SUMIFS(Salidas!G:G,Salidas!E:E,Artículos[[#This Row],[Código]])</f>
        <v>0</v>
      </c>
      <c r="L228" s="16">
        <f>Artículos[[#This Row],[Existencias iniciales]]+Artículos[[#This Row],[Entradas]]-Artículos[[#This Row],[Salidas]]</f>
        <v>0</v>
      </c>
      <c r="M228" s="16"/>
      <c r="N228" s="16"/>
    </row>
    <row r="229" spans="1:14" ht="14.4" hidden="1" customHeight="1" x14ac:dyDescent="0.3">
      <c r="A229" s="29" t="s">
        <v>1037</v>
      </c>
      <c r="B229" s="15"/>
      <c r="C229" s="16" t="e">
        <f>IF([2]!Artículos4[[#This Row],[Proveedor (código)]]="","",VLOOKUP([2]!Artículos4[[#This Row],[Proveedor (código)]],[2]Proveedores!A:B,2,FALSE))</f>
        <v>#REF!</v>
      </c>
      <c r="D229" s="29" t="s">
        <v>1401</v>
      </c>
      <c r="E229" s="29" t="s">
        <v>289</v>
      </c>
      <c r="F229" s="51"/>
      <c r="G229" s="14"/>
      <c r="H229" s="14"/>
      <c r="I229" s="14"/>
      <c r="J229" s="16">
        <f>SUMIFS(Entradas!G:G,Entradas!E:E,Artículos[[#This Row],[Código]])</f>
        <v>68</v>
      </c>
      <c r="K229" s="16">
        <f>SUMIFS(Salidas!G:G,Salidas!E:E,Artículos[[#This Row],[Código]])</f>
        <v>0</v>
      </c>
      <c r="L229" s="16">
        <f>Artículos[[#This Row],[Existencias iniciales]]+Artículos[[#This Row],[Entradas]]-Artículos[[#This Row],[Salidas]]</f>
        <v>68</v>
      </c>
      <c r="M229" s="16"/>
      <c r="N229" s="16"/>
    </row>
    <row r="230" spans="1:14" ht="14.4" hidden="1" customHeight="1" x14ac:dyDescent="0.3">
      <c r="A230" s="29" t="s">
        <v>1038</v>
      </c>
      <c r="B230" s="15"/>
      <c r="C230" s="16" t="e">
        <f>IF([2]!Artículos4[[#This Row],[Proveedor (código)]]="","",VLOOKUP([2]!Artículos4[[#This Row],[Proveedor (código)]],[2]Proveedores!A:B,2,FALSE))</f>
        <v>#REF!</v>
      </c>
      <c r="D230" s="29"/>
      <c r="E230" s="29" t="s">
        <v>289</v>
      </c>
      <c r="F230" s="51"/>
      <c r="G230" s="14"/>
      <c r="H230" s="14"/>
      <c r="I230" s="14"/>
      <c r="J230" s="16">
        <f>SUMIFS(Entradas!G:G,Entradas!E:E,Artículos[[#This Row],[Código]])</f>
        <v>0</v>
      </c>
      <c r="K230" s="16">
        <f>SUMIFS(Salidas!G:G,Salidas!E:E,Artículos[[#This Row],[Código]])</f>
        <v>0</v>
      </c>
      <c r="L230" s="16">
        <f>Artículos[[#This Row],[Existencias iniciales]]+Artículos[[#This Row],[Entradas]]-Artículos[[#This Row],[Salidas]]</f>
        <v>0</v>
      </c>
      <c r="M230" s="16"/>
      <c r="N230" s="16"/>
    </row>
    <row r="231" spans="1:14" ht="14.4" hidden="1" customHeight="1" x14ac:dyDescent="0.3">
      <c r="A231" s="29" t="s">
        <v>1039</v>
      </c>
      <c r="B231" s="15"/>
      <c r="C231" s="16" t="e">
        <f>IF([2]!Artículos4[[#This Row],[Proveedor (código)]]="","",VLOOKUP([2]!Artículos4[[#This Row],[Proveedor (código)]],[2]Proveedores!A:B,2,FALSE))</f>
        <v>#REF!</v>
      </c>
      <c r="D231" s="29"/>
      <c r="E231" s="29" t="s">
        <v>289</v>
      </c>
      <c r="F231" s="51"/>
      <c r="G231" s="14"/>
      <c r="H231" s="14"/>
      <c r="I231" s="14"/>
      <c r="J231" s="16">
        <f>SUMIFS(Entradas!G:G,Entradas!E:E,Artículos[[#This Row],[Código]])</f>
        <v>0</v>
      </c>
      <c r="K231" s="16">
        <f>SUMIFS(Salidas!G:G,Salidas!E:E,Artículos[[#This Row],[Código]])</f>
        <v>0</v>
      </c>
      <c r="L231" s="16">
        <f>Artículos[[#This Row],[Existencias iniciales]]+Artículos[[#This Row],[Entradas]]-Artículos[[#This Row],[Salidas]]</f>
        <v>0</v>
      </c>
      <c r="M231" s="16"/>
      <c r="N231" s="16"/>
    </row>
    <row r="232" spans="1:14" ht="14.4" hidden="1" customHeight="1" x14ac:dyDescent="0.3">
      <c r="A232" s="29" t="s">
        <v>1040</v>
      </c>
      <c r="B232" s="15"/>
      <c r="C232" s="16" t="e">
        <f>IF([2]!Artículos4[[#This Row],[Proveedor (código)]]="","",VLOOKUP([2]!Artículos4[[#This Row],[Proveedor (código)]],[2]Proveedores!A:B,2,FALSE))</f>
        <v>#REF!</v>
      </c>
      <c r="D232" s="29"/>
      <c r="E232" s="29" t="s">
        <v>289</v>
      </c>
      <c r="F232" s="51"/>
      <c r="G232" s="14"/>
      <c r="H232" s="14"/>
      <c r="I232" s="14"/>
      <c r="J232" s="16">
        <f>SUMIFS(Entradas!G:G,Entradas!E:E,Artículos[[#This Row],[Código]])</f>
        <v>0</v>
      </c>
      <c r="K232" s="16">
        <f>SUMIFS(Salidas!G:G,Salidas!E:E,Artículos[[#This Row],[Código]])</f>
        <v>0</v>
      </c>
      <c r="L232" s="16">
        <f>Artículos[[#This Row],[Existencias iniciales]]+Artículos[[#This Row],[Entradas]]-Artículos[[#This Row],[Salidas]]</f>
        <v>0</v>
      </c>
      <c r="M232" s="16"/>
      <c r="N232" s="16"/>
    </row>
    <row r="233" spans="1:14" ht="14.4" hidden="1" customHeight="1" x14ac:dyDescent="0.3">
      <c r="A233" s="29" t="s">
        <v>1041</v>
      </c>
      <c r="B233" s="15"/>
      <c r="C233" s="16" t="e">
        <f>IF([2]!Artículos4[[#This Row],[Proveedor (código)]]="","",VLOOKUP([2]!Artículos4[[#This Row],[Proveedor (código)]],[2]Proveedores!A:B,2,FALSE))</f>
        <v>#REF!</v>
      </c>
      <c r="D233" s="29"/>
      <c r="E233" s="29" t="s">
        <v>289</v>
      </c>
      <c r="F233" s="51"/>
      <c r="G233" s="14"/>
      <c r="H233" s="14"/>
      <c r="I233" s="38"/>
      <c r="J233" s="16">
        <f>SUMIFS(Entradas!G:G,Entradas!E:E,Artículos[[#This Row],[Código]])</f>
        <v>0</v>
      </c>
      <c r="K233" s="16">
        <f>SUMIFS(Salidas!G:G,Salidas!E:E,Artículos[[#This Row],[Código]])</f>
        <v>0</v>
      </c>
      <c r="L233" s="16">
        <f>Artículos[[#This Row],[Existencias iniciales]]+Artículos[[#This Row],[Entradas]]-Artículos[[#This Row],[Salidas]]</f>
        <v>0</v>
      </c>
      <c r="M233" s="16"/>
      <c r="N233" s="16"/>
    </row>
    <row r="234" spans="1:14" ht="14.4" hidden="1" customHeight="1" x14ac:dyDescent="0.3">
      <c r="A234" s="29" t="s">
        <v>961</v>
      </c>
      <c r="B234" s="15"/>
      <c r="C234" s="16" t="e">
        <f>IF([2]!Artículos4[[#This Row],[Proveedor (código)]]="","",VLOOKUP([2]!Artículos4[[#This Row],[Proveedor (código)]],[2]Proveedores!A:B,2,FALSE))</f>
        <v>#REF!</v>
      </c>
      <c r="D234" s="29" t="s">
        <v>308</v>
      </c>
      <c r="E234" s="29" t="s">
        <v>71</v>
      </c>
      <c r="F234" s="51"/>
      <c r="G234" s="14"/>
      <c r="H234" s="14"/>
      <c r="I234" s="14"/>
      <c r="J234" s="16">
        <f>SUMIFS(Entradas!G:G,Entradas!E:E,Artículos[[#This Row],[Código]])</f>
        <v>0</v>
      </c>
      <c r="K234" s="16">
        <f>SUMIFS(Salidas!G:G,Salidas!E:E,Artículos[[#This Row],[Código]])</f>
        <v>0</v>
      </c>
      <c r="L234" s="16">
        <f>Artículos[[#This Row],[Existencias iniciales]]+Artículos[[#This Row],[Entradas]]-Artículos[[#This Row],[Salidas]]</f>
        <v>0</v>
      </c>
      <c r="M234" s="16"/>
      <c r="N234" s="16"/>
    </row>
    <row r="235" spans="1:14" ht="14.4" hidden="1" customHeight="1" x14ac:dyDescent="0.3">
      <c r="A235" s="29" t="s">
        <v>962</v>
      </c>
      <c r="B235" s="15"/>
      <c r="C235" s="16" t="e">
        <f>IF([2]!Artículos4[[#This Row],[Proveedor (código)]]="","",VLOOKUP([2]!Artículos4[[#This Row],[Proveedor (código)]],[2]Proveedores!A:B,2,FALSE))</f>
        <v>#REF!</v>
      </c>
      <c r="D235" s="29" t="s">
        <v>309</v>
      </c>
      <c r="E235" s="29" t="s">
        <v>71</v>
      </c>
      <c r="F235" s="51">
        <v>3.52</v>
      </c>
      <c r="G235" s="14"/>
      <c r="H235" s="14"/>
      <c r="I235" s="14"/>
      <c r="J235" s="16">
        <f>SUMIFS(Entradas!G:G,Entradas!E:E,Artículos[[#This Row],[Código]])</f>
        <v>4</v>
      </c>
      <c r="K235" s="16">
        <f>SUMIFS(Salidas!G:G,Salidas!E:E,Artículos[[#This Row],[Código]])</f>
        <v>0</v>
      </c>
      <c r="L235" s="16">
        <f>Artículos[[#This Row],[Existencias iniciales]]+Artículos[[#This Row],[Entradas]]-Artículos[[#This Row],[Salidas]]</f>
        <v>4</v>
      </c>
      <c r="M235" s="16"/>
      <c r="N235" s="16"/>
    </row>
    <row r="236" spans="1:14" ht="14.4" hidden="1" customHeight="1" x14ac:dyDescent="0.3">
      <c r="A236" s="29" t="s">
        <v>963</v>
      </c>
      <c r="B236" s="15"/>
      <c r="C236" s="16" t="e">
        <f>IF([2]!Artículos4[[#This Row],[Proveedor (código)]]="","",VLOOKUP([2]!Artículos4[[#This Row],[Proveedor (código)]],[2]Proveedores!A:B,2,FALSE))</f>
        <v>#REF!</v>
      </c>
      <c r="D236" s="29" t="s">
        <v>310</v>
      </c>
      <c r="E236" s="29" t="s">
        <v>71</v>
      </c>
      <c r="F236" s="51"/>
      <c r="G236" s="14"/>
      <c r="H236" s="14"/>
      <c r="I236" s="14">
        <v>5</v>
      </c>
      <c r="J236" s="16">
        <f>SUMIFS(Entradas!G:G,Entradas!E:E,Artículos[[#This Row],[Código]])</f>
        <v>0</v>
      </c>
      <c r="K236" s="16">
        <f>SUMIFS(Salidas!G:G,Salidas!E:E,Artículos[[#This Row],[Código]])</f>
        <v>0</v>
      </c>
      <c r="L236" s="16">
        <f>Artículos[[#This Row],[Existencias iniciales]]+Artículos[[#This Row],[Entradas]]-Artículos[[#This Row],[Salidas]]</f>
        <v>5</v>
      </c>
      <c r="M236" s="16"/>
      <c r="N236" s="16"/>
    </row>
    <row r="237" spans="1:14" ht="14.4" hidden="1" customHeight="1" x14ac:dyDescent="0.3">
      <c r="A237" s="29" t="s">
        <v>964</v>
      </c>
      <c r="B237" s="15"/>
      <c r="C237" s="16" t="e">
        <f>IF([2]!Artículos4[[#This Row],[Proveedor (código)]]="","",VLOOKUP([2]!Artículos4[[#This Row],[Proveedor (código)]],[2]Proveedores!A:B,2,FALSE))</f>
        <v>#REF!</v>
      </c>
      <c r="D237" s="29" t="s">
        <v>311</v>
      </c>
      <c r="E237" s="29" t="s">
        <v>71</v>
      </c>
      <c r="F237" s="51"/>
      <c r="G237" s="14"/>
      <c r="H237" s="14"/>
      <c r="I237" s="14">
        <v>5</v>
      </c>
      <c r="J237" s="16">
        <f>SUMIFS(Entradas!G:G,Entradas!E:E,Artículos[[#This Row],[Código]])</f>
        <v>0</v>
      </c>
      <c r="K237" s="16">
        <f>SUMIFS(Salidas!G:G,Salidas!E:E,Artículos[[#This Row],[Código]])</f>
        <v>0</v>
      </c>
      <c r="L237" s="16">
        <f>Artículos[[#This Row],[Existencias iniciales]]+Artículos[[#This Row],[Entradas]]-Artículos[[#This Row],[Salidas]]</f>
        <v>5</v>
      </c>
      <c r="M237" s="16"/>
      <c r="N237" s="16"/>
    </row>
    <row r="238" spans="1:14" ht="14.4" hidden="1" customHeight="1" x14ac:dyDescent="0.3">
      <c r="A238" s="29" t="s">
        <v>965</v>
      </c>
      <c r="B238" s="15"/>
      <c r="C238" s="16" t="e">
        <f>IF([2]!Artículos4[[#This Row],[Proveedor (código)]]="","",VLOOKUP([2]!Artículos4[[#This Row],[Proveedor (código)]],[2]Proveedores!A:B,2,FALSE))</f>
        <v>#REF!</v>
      </c>
      <c r="D238" s="29" t="s">
        <v>312</v>
      </c>
      <c r="E238" s="29" t="s">
        <v>71</v>
      </c>
      <c r="F238" s="51"/>
      <c r="G238" s="14"/>
      <c r="H238" s="14"/>
      <c r="I238" s="14">
        <v>17</v>
      </c>
      <c r="J238" s="16">
        <f>SUMIFS(Entradas!G:G,Entradas!E:E,Artículos[[#This Row],[Código]])</f>
        <v>0</v>
      </c>
      <c r="K238" s="16">
        <f>SUMIFS(Salidas!G:G,Salidas!E:E,Artículos[[#This Row],[Código]])</f>
        <v>0</v>
      </c>
      <c r="L238" s="16">
        <f>Artículos[[#This Row],[Existencias iniciales]]+Artículos[[#This Row],[Entradas]]-Artículos[[#This Row],[Salidas]]</f>
        <v>17</v>
      </c>
      <c r="M238" s="16"/>
      <c r="N238" s="16"/>
    </row>
    <row r="239" spans="1:14" ht="14.4" hidden="1" customHeight="1" x14ac:dyDescent="0.3">
      <c r="A239" s="29" t="s">
        <v>966</v>
      </c>
      <c r="B239" s="15"/>
      <c r="C239" s="16" t="e">
        <f>IF([2]!Artículos4[[#This Row],[Proveedor (código)]]="","",VLOOKUP([2]!Artículos4[[#This Row],[Proveedor (código)]],[2]Proveedores!A:B,2,FALSE))</f>
        <v>#REF!</v>
      </c>
      <c r="D239" s="29" t="s">
        <v>313</v>
      </c>
      <c r="E239" s="29" t="s">
        <v>71</v>
      </c>
      <c r="F239" s="51"/>
      <c r="G239" s="14"/>
      <c r="H239" s="14"/>
      <c r="I239" s="14">
        <v>1</v>
      </c>
      <c r="J239" s="16">
        <f>SUMIFS(Entradas!G:G,Entradas!E:E,Artículos[[#This Row],[Código]])</f>
        <v>0</v>
      </c>
      <c r="K239" s="16">
        <f>SUMIFS(Salidas!G:G,Salidas!E:E,Artículos[[#This Row],[Código]])</f>
        <v>0</v>
      </c>
      <c r="L239" s="16">
        <f>Artículos[[#This Row],[Existencias iniciales]]+Artículos[[#This Row],[Entradas]]-Artículos[[#This Row],[Salidas]]</f>
        <v>1</v>
      </c>
      <c r="M239" s="16"/>
      <c r="N239" s="16"/>
    </row>
    <row r="240" spans="1:14" ht="14.4" hidden="1" customHeight="1" x14ac:dyDescent="0.3">
      <c r="A240" s="29" t="s">
        <v>967</v>
      </c>
      <c r="B240" s="15"/>
      <c r="C240" s="16" t="e">
        <f>IF([2]!Artículos4[[#This Row],[Proveedor (código)]]="","",VLOOKUP([2]!Artículos4[[#This Row],[Proveedor (código)]],[2]Proveedores!A:B,2,FALSE))</f>
        <v>#REF!</v>
      </c>
      <c r="D240" s="29" t="s">
        <v>314</v>
      </c>
      <c r="E240" s="29" t="s">
        <v>71</v>
      </c>
      <c r="F240" s="51"/>
      <c r="G240" s="14"/>
      <c r="H240" s="14"/>
      <c r="I240" s="14"/>
      <c r="J240" s="16">
        <f>SUMIFS(Entradas!G:G,Entradas!E:E,Artículos[[#This Row],[Código]])</f>
        <v>0</v>
      </c>
      <c r="K240" s="16">
        <f>SUMIFS(Salidas!G:G,Salidas!E:E,Artículos[[#This Row],[Código]])</f>
        <v>0</v>
      </c>
      <c r="L240" s="16">
        <f>Artículos[[#This Row],[Existencias iniciales]]+Artículos[[#This Row],[Entradas]]-Artículos[[#This Row],[Salidas]]</f>
        <v>0</v>
      </c>
      <c r="M240" s="16"/>
      <c r="N240" s="16"/>
    </row>
    <row r="241" spans="1:14" ht="14.4" hidden="1" customHeight="1" x14ac:dyDescent="0.3">
      <c r="A241" s="29" t="s">
        <v>968</v>
      </c>
      <c r="B241" s="15"/>
      <c r="C241" s="16" t="e">
        <f>IF([2]!Artículos4[[#This Row],[Proveedor (código)]]="","",VLOOKUP([2]!Artículos4[[#This Row],[Proveedor (código)]],[2]Proveedores!A:B,2,FALSE))</f>
        <v>#REF!</v>
      </c>
      <c r="D241" s="29" t="s">
        <v>315</v>
      </c>
      <c r="E241" s="29" t="s">
        <v>71</v>
      </c>
      <c r="F241" s="51"/>
      <c r="G241" s="14"/>
      <c r="H241" s="14"/>
      <c r="I241" s="14"/>
      <c r="J241" s="16">
        <f>SUMIFS(Entradas!G:G,Entradas!E:E,Artículos[[#This Row],[Código]])</f>
        <v>0</v>
      </c>
      <c r="K241" s="16">
        <f>SUMIFS(Salidas!G:G,Salidas!E:E,Artículos[[#This Row],[Código]])</f>
        <v>0</v>
      </c>
      <c r="L241" s="16">
        <f>Artículos[[#This Row],[Existencias iniciales]]+Artículos[[#This Row],[Entradas]]-Artículos[[#This Row],[Salidas]]</f>
        <v>0</v>
      </c>
      <c r="M241" s="16"/>
      <c r="N241" s="16"/>
    </row>
    <row r="242" spans="1:14" ht="14.4" hidden="1" customHeight="1" x14ac:dyDescent="0.3">
      <c r="A242" s="29" t="s">
        <v>969</v>
      </c>
      <c r="B242" s="15"/>
      <c r="C242" s="16" t="e">
        <f>IF([2]!Artículos4[[#This Row],[Proveedor (código)]]="","",VLOOKUP([2]!Artículos4[[#This Row],[Proveedor (código)]],[2]Proveedores!A:B,2,FALSE))</f>
        <v>#REF!</v>
      </c>
      <c r="D242" s="29" t="s">
        <v>316</v>
      </c>
      <c r="E242" s="29" t="s">
        <v>71</v>
      </c>
      <c r="F242" s="51"/>
      <c r="G242" s="14"/>
      <c r="H242" s="14"/>
      <c r="I242" s="14"/>
      <c r="J242" s="16">
        <f>SUMIFS(Entradas!G:G,Entradas!E:E,Artículos[[#This Row],[Código]])</f>
        <v>0</v>
      </c>
      <c r="K242" s="16">
        <f>SUMIFS(Salidas!G:G,Salidas!E:E,Artículos[[#This Row],[Código]])</f>
        <v>0</v>
      </c>
      <c r="L242" s="16">
        <f>Artículos[[#This Row],[Existencias iniciales]]+Artículos[[#This Row],[Entradas]]-Artículos[[#This Row],[Salidas]]</f>
        <v>0</v>
      </c>
      <c r="M242" s="16"/>
      <c r="N242" s="16"/>
    </row>
    <row r="243" spans="1:14" ht="14.4" hidden="1" customHeight="1" x14ac:dyDescent="0.3">
      <c r="A243" s="29" t="s">
        <v>970</v>
      </c>
      <c r="B243" s="15"/>
      <c r="C243" s="16" t="e">
        <f>IF([2]!Artículos4[[#This Row],[Proveedor (código)]]="","",VLOOKUP([2]!Artículos4[[#This Row],[Proveedor (código)]],[2]Proveedores!A:B,2,FALSE))</f>
        <v>#REF!</v>
      </c>
      <c r="D243" s="29" t="s">
        <v>317</v>
      </c>
      <c r="E243" s="29" t="s">
        <v>71</v>
      </c>
      <c r="F243" s="51"/>
      <c r="G243" s="14"/>
      <c r="H243" s="14"/>
      <c r="I243" s="14"/>
      <c r="J243" s="16">
        <f>SUMIFS(Entradas!G:G,Entradas!E:E,Artículos[[#This Row],[Código]])</f>
        <v>0</v>
      </c>
      <c r="K243" s="16">
        <f>SUMIFS(Salidas!G:G,Salidas!E:E,Artículos[[#This Row],[Código]])</f>
        <v>1</v>
      </c>
      <c r="L243" s="16">
        <f>Artículos[[#This Row],[Existencias iniciales]]+Artículos[[#This Row],[Entradas]]-Artículos[[#This Row],[Salidas]]</f>
        <v>-1</v>
      </c>
      <c r="M243" s="16"/>
      <c r="N243" s="16"/>
    </row>
    <row r="244" spans="1:14" ht="14.4" hidden="1" customHeight="1" x14ac:dyDescent="0.3">
      <c r="A244" s="29" t="s">
        <v>971</v>
      </c>
      <c r="B244" s="15"/>
      <c r="C244" s="16" t="e">
        <f>IF([2]!Artículos4[[#This Row],[Proveedor (código)]]="","",VLOOKUP([2]!Artículos4[[#This Row],[Proveedor (código)]],[2]Proveedores!A:B,2,FALSE))</f>
        <v>#REF!</v>
      </c>
      <c r="D244" s="29" t="s">
        <v>318</v>
      </c>
      <c r="E244" s="29" t="s">
        <v>71</v>
      </c>
      <c r="F244" s="51"/>
      <c r="G244" s="14"/>
      <c r="H244" s="14"/>
      <c r="I244" s="14"/>
      <c r="J244" s="16">
        <f>SUMIFS(Entradas!G:G,Entradas!E:E,Artículos[[#This Row],[Código]])</f>
        <v>0</v>
      </c>
      <c r="K244" s="16">
        <f>SUMIFS(Salidas!G:G,Salidas!E:E,Artículos[[#This Row],[Código]])</f>
        <v>0</v>
      </c>
      <c r="L244" s="16">
        <f>Artículos[[#This Row],[Existencias iniciales]]+Artículos[[#This Row],[Entradas]]-Artículos[[#This Row],[Salidas]]</f>
        <v>0</v>
      </c>
      <c r="M244" s="16"/>
      <c r="N244" s="16"/>
    </row>
    <row r="245" spans="1:14" ht="14.4" hidden="1" customHeight="1" x14ac:dyDescent="0.3">
      <c r="A245" s="29" t="s">
        <v>972</v>
      </c>
      <c r="B245" s="15"/>
      <c r="C245" s="16" t="e">
        <f>IF([2]!Artículos4[[#This Row],[Proveedor (código)]]="","",VLOOKUP([2]!Artículos4[[#This Row],[Proveedor (código)]],[2]Proveedores!A:B,2,FALSE))</f>
        <v>#REF!</v>
      </c>
      <c r="D245" s="29" t="s">
        <v>319</v>
      </c>
      <c r="E245" s="29" t="s">
        <v>71</v>
      </c>
      <c r="F245" s="51"/>
      <c r="G245" s="14"/>
      <c r="H245" s="14"/>
      <c r="I245" s="14"/>
      <c r="J245" s="16">
        <f>SUMIFS(Entradas!G:G,Entradas!E:E,Artículos[[#This Row],[Código]])</f>
        <v>0</v>
      </c>
      <c r="K245" s="16">
        <f>SUMIFS(Salidas!G:G,Salidas!E:E,Artículos[[#This Row],[Código]])</f>
        <v>0</v>
      </c>
      <c r="L245" s="16">
        <f>Artículos[[#This Row],[Existencias iniciales]]+Artículos[[#This Row],[Entradas]]-Artículos[[#This Row],[Salidas]]</f>
        <v>0</v>
      </c>
      <c r="M245" s="16"/>
      <c r="N245" s="16"/>
    </row>
    <row r="246" spans="1:14" ht="14.4" hidden="1" customHeight="1" x14ac:dyDescent="0.3">
      <c r="A246" s="29" t="s">
        <v>973</v>
      </c>
      <c r="B246" s="15"/>
      <c r="C246" s="16" t="e">
        <f>IF([2]!Artículos4[[#This Row],[Proveedor (código)]]="","",VLOOKUP([2]!Artículos4[[#This Row],[Proveedor (código)]],[2]Proveedores!A:B,2,FALSE))</f>
        <v>#REF!</v>
      </c>
      <c r="D246" s="29" t="s">
        <v>320</v>
      </c>
      <c r="E246" s="29" t="s">
        <v>71</v>
      </c>
      <c r="F246" s="51"/>
      <c r="G246" s="14"/>
      <c r="H246" s="14"/>
      <c r="I246" s="14"/>
      <c r="J246" s="16">
        <f>SUMIFS(Entradas!G:G,Entradas!E:E,Artículos[[#This Row],[Código]])</f>
        <v>0</v>
      </c>
      <c r="K246" s="16">
        <f>SUMIFS(Salidas!G:G,Salidas!E:E,Artículos[[#This Row],[Código]])</f>
        <v>0</v>
      </c>
      <c r="L246" s="16">
        <f>Artículos[[#This Row],[Existencias iniciales]]+Artículos[[#This Row],[Entradas]]-Artículos[[#This Row],[Salidas]]</f>
        <v>0</v>
      </c>
      <c r="M246" s="16"/>
      <c r="N246" s="16"/>
    </row>
    <row r="247" spans="1:14" ht="14.4" hidden="1" customHeight="1" x14ac:dyDescent="0.3">
      <c r="A247" s="29" t="s">
        <v>974</v>
      </c>
      <c r="B247" s="15"/>
      <c r="C247" s="16" t="e">
        <f>IF([2]!Artículos4[[#This Row],[Proveedor (código)]]="","",VLOOKUP([2]!Artículos4[[#This Row],[Proveedor (código)]],[2]Proveedores!A:B,2,FALSE))</f>
        <v>#REF!</v>
      </c>
      <c r="D247" s="29" t="s">
        <v>321</v>
      </c>
      <c r="E247" s="29" t="s">
        <v>71</v>
      </c>
      <c r="F247" s="51"/>
      <c r="G247" s="14"/>
      <c r="H247" s="14"/>
      <c r="I247" s="14"/>
      <c r="J247" s="16">
        <f>SUMIFS(Entradas!G:G,Entradas!E:E,Artículos[[#This Row],[Código]])</f>
        <v>0</v>
      </c>
      <c r="K247" s="16">
        <f>SUMIFS(Salidas!G:G,Salidas!E:E,Artículos[[#This Row],[Código]])</f>
        <v>0</v>
      </c>
      <c r="L247" s="16">
        <f>Artículos[[#This Row],[Existencias iniciales]]+Artículos[[#This Row],[Entradas]]-Artículos[[#This Row],[Salidas]]</f>
        <v>0</v>
      </c>
      <c r="M247" s="16"/>
      <c r="N247" s="16"/>
    </row>
    <row r="248" spans="1:14" ht="14.4" hidden="1" customHeight="1" x14ac:dyDescent="0.3">
      <c r="A248" s="29" t="s">
        <v>975</v>
      </c>
      <c r="B248" s="15"/>
      <c r="C248" s="16" t="e">
        <f>IF([2]!Artículos4[[#This Row],[Proveedor (código)]]="","",VLOOKUP([2]!Artículos4[[#This Row],[Proveedor (código)]],[2]Proveedores!A:B,2,FALSE))</f>
        <v>#REF!</v>
      </c>
      <c r="D248" s="29" t="s">
        <v>322</v>
      </c>
      <c r="E248" s="29" t="s">
        <v>71</v>
      </c>
      <c r="F248" s="51"/>
      <c r="G248" s="14"/>
      <c r="H248" s="14"/>
      <c r="I248" s="14"/>
      <c r="J248" s="16">
        <f>SUMIFS(Entradas!G:G,Entradas!E:E,Artículos[[#This Row],[Código]])</f>
        <v>0</v>
      </c>
      <c r="K248" s="16">
        <f>SUMIFS(Salidas!G:G,Salidas!E:E,Artículos[[#This Row],[Código]])</f>
        <v>0</v>
      </c>
      <c r="L248" s="16">
        <f>Artículos[[#This Row],[Existencias iniciales]]+Artículos[[#This Row],[Entradas]]-Artículos[[#This Row],[Salidas]]</f>
        <v>0</v>
      </c>
      <c r="M248" s="16"/>
      <c r="N248" s="16"/>
    </row>
    <row r="249" spans="1:14" ht="14.4" hidden="1" customHeight="1" x14ac:dyDescent="0.3">
      <c r="A249" s="29" t="s">
        <v>976</v>
      </c>
      <c r="B249" s="15"/>
      <c r="C249" s="16" t="e">
        <f>IF([2]!Artículos4[[#This Row],[Proveedor (código)]]="","",VLOOKUP([2]!Artículos4[[#This Row],[Proveedor (código)]],[2]Proveedores!A:B,2,FALSE))</f>
        <v>#REF!</v>
      </c>
      <c r="D249" s="29" t="s">
        <v>323</v>
      </c>
      <c r="E249" s="29" t="s">
        <v>71</v>
      </c>
      <c r="F249" s="51"/>
      <c r="G249" s="14"/>
      <c r="H249" s="14"/>
      <c r="I249" s="14"/>
      <c r="J249" s="16">
        <f>SUMIFS(Entradas!G:G,Entradas!E:E,Artículos[[#This Row],[Código]])</f>
        <v>0</v>
      </c>
      <c r="K249" s="16">
        <f>SUMIFS(Salidas!G:G,Salidas!E:E,Artículos[[#This Row],[Código]])</f>
        <v>0</v>
      </c>
      <c r="L249" s="16">
        <f>Artículos[[#This Row],[Existencias iniciales]]+Artículos[[#This Row],[Entradas]]-Artículos[[#This Row],[Salidas]]</f>
        <v>0</v>
      </c>
      <c r="M249" s="16"/>
      <c r="N249" s="16"/>
    </row>
    <row r="250" spans="1:14" ht="14.4" hidden="1" customHeight="1" x14ac:dyDescent="0.3">
      <c r="A250" s="29" t="s">
        <v>977</v>
      </c>
      <c r="B250" s="15"/>
      <c r="C250" s="16" t="e">
        <f>IF([2]!Artículos4[[#This Row],[Proveedor (código)]]="","",VLOOKUP([2]!Artículos4[[#This Row],[Proveedor (código)]],[2]Proveedores!A:B,2,FALSE))</f>
        <v>#REF!</v>
      </c>
      <c r="D250" s="29" t="s">
        <v>324</v>
      </c>
      <c r="E250" s="29" t="s">
        <v>71</v>
      </c>
      <c r="F250" s="51"/>
      <c r="G250" s="14"/>
      <c r="H250" s="14"/>
      <c r="I250" s="14"/>
      <c r="J250" s="16">
        <f>SUMIFS(Entradas!G:G,Entradas!E:E,Artículos[[#This Row],[Código]])</f>
        <v>0</v>
      </c>
      <c r="K250" s="16">
        <f>SUMIFS(Salidas!G:G,Salidas!E:E,Artículos[[#This Row],[Código]])</f>
        <v>0</v>
      </c>
      <c r="L250" s="16">
        <f>Artículos[[#This Row],[Existencias iniciales]]+Artículos[[#This Row],[Entradas]]-Artículos[[#This Row],[Salidas]]</f>
        <v>0</v>
      </c>
      <c r="M250" s="16"/>
      <c r="N250" s="16"/>
    </row>
    <row r="251" spans="1:14" ht="14.4" hidden="1" customHeight="1" x14ac:dyDescent="0.3">
      <c r="A251" s="29" t="s">
        <v>977</v>
      </c>
      <c r="B251" s="15"/>
      <c r="C251" s="16" t="e">
        <f>IF([2]!Artículos4[[#This Row],[Proveedor (código)]]="","",VLOOKUP([2]!Artículos4[[#This Row],[Proveedor (código)]],[2]Proveedores!A:B,2,FALSE))</f>
        <v>#REF!</v>
      </c>
      <c r="D251" s="29" t="s">
        <v>326</v>
      </c>
      <c r="E251" s="29" t="s">
        <v>71</v>
      </c>
      <c r="F251" s="51"/>
      <c r="G251" s="14"/>
      <c r="H251" s="14"/>
      <c r="I251" s="14"/>
      <c r="J251" s="16">
        <f>SUMIFS(Entradas!G:G,Entradas!E:E,Artículos[[#This Row],[Código]])</f>
        <v>0</v>
      </c>
      <c r="K251" s="16">
        <f>SUMIFS(Salidas!G:G,Salidas!E:E,Artículos[[#This Row],[Código]])</f>
        <v>0</v>
      </c>
      <c r="L251" s="16">
        <f>Artículos[[#This Row],[Existencias iniciales]]+Artículos[[#This Row],[Entradas]]-Artículos[[#This Row],[Salidas]]</f>
        <v>0</v>
      </c>
      <c r="M251" s="16"/>
      <c r="N251" s="16"/>
    </row>
    <row r="252" spans="1:14" ht="14.4" hidden="1" customHeight="1" x14ac:dyDescent="0.3">
      <c r="A252" s="29"/>
      <c r="B252" s="15"/>
      <c r="C252" s="16"/>
      <c r="D252" s="29"/>
      <c r="E252" s="29"/>
      <c r="F252" s="51"/>
      <c r="G252" s="14"/>
      <c r="H252" s="14"/>
      <c r="I252" s="14"/>
      <c r="J252" s="16">
        <f>SUMIFS(Entradas!G:G,Entradas!E:E,Artículos[[#This Row],[Código]])</f>
        <v>0</v>
      </c>
      <c r="K252" s="16">
        <f>SUMIFS(Salidas!G:G,Salidas!E:E,Artículos[[#This Row],[Código]])</f>
        <v>0</v>
      </c>
      <c r="L252" s="16">
        <f>Artículos[[#This Row],[Existencias iniciales]]+Artículos[[#This Row],[Entradas]]-Artículos[[#This Row],[Salidas]]</f>
        <v>0</v>
      </c>
      <c r="M252" s="16"/>
      <c r="N252" s="16"/>
    </row>
    <row r="253" spans="1:14" ht="14.4" hidden="1" customHeight="1" x14ac:dyDescent="0.3">
      <c r="A253" s="29"/>
      <c r="B253" s="15"/>
      <c r="C253" s="16"/>
      <c r="D253" s="29"/>
      <c r="E253" s="29"/>
      <c r="F253" s="51"/>
      <c r="G253" s="14"/>
      <c r="H253" s="14"/>
      <c r="I253" s="14"/>
      <c r="J253" s="16">
        <f>SUMIFS(Entradas!G:G,Entradas!E:E,Artículos[[#This Row],[Código]])</f>
        <v>0</v>
      </c>
      <c r="K253" s="16">
        <f>SUMIFS(Salidas!G:G,Salidas!E:E,Artículos[[#This Row],[Código]])</f>
        <v>0</v>
      </c>
      <c r="L253" s="16">
        <f>Artículos[[#This Row],[Existencias iniciales]]+Artículos[[#This Row],[Entradas]]-Artículos[[#This Row],[Salidas]]</f>
        <v>0</v>
      </c>
      <c r="M253" s="16"/>
      <c r="N253" s="16"/>
    </row>
    <row r="254" spans="1:14" ht="14.4" hidden="1" customHeight="1" x14ac:dyDescent="0.3">
      <c r="A254" s="29"/>
      <c r="B254" s="15"/>
      <c r="C254" s="16"/>
      <c r="D254" s="29"/>
      <c r="E254" s="29"/>
      <c r="F254" s="51"/>
      <c r="G254" s="14"/>
      <c r="H254" s="14"/>
      <c r="I254" s="14"/>
      <c r="J254" s="16">
        <f>SUMIFS(Entradas!G:G,Entradas!E:E,Artículos[[#This Row],[Código]])</f>
        <v>0</v>
      </c>
      <c r="K254" s="16">
        <f>SUMIFS(Salidas!G:G,Salidas!E:E,Artículos[[#This Row],[Código]])</f>
        <v>0</v>
      </c>
      <c r="L254" s="16">
        <f>Artículos[[#This Row],[Existencias iniciales]]+Artículos[[#This Row],[Entradas]]-Artículos[[#This Row],[Salidas]]</f>
        <v>0</v>
      </c>
      <c r="M254" s="16"/>
      <c r="N254" s="16"/>
    </row>
    <row r="255" spans="1:14" ht="14.4" hidden="1" customHeight="1" x14ac:dyDescent="0.3">
      <c r="A255" s="29"/>
      <c r="B255" s="15"/>
      <c r="C255" s="16"/>
      <c r="D255" s="29"/>
      <c r="E255" s="29"/>
      <c r="F255" s="51"/>
      <c r="G255" s="14"/>
      <c r="H255" s="14"/>
      <c r="I255" s="14"/>
      <c r="J255" s="16">
        <f>SUMIFS(Entradas!G:G,Entradas!E:E,Artículos[[#This Row],[Código]])</f>
        <v>0</v>
      </c>
      <c r="K255" s="16">
        <f>SUMIFS(Salidas!G:G,Salidas!E:E,Artículos[[#This Row],[Código]])</f>
        <v>0</v>
      </c>
      <c r="L255" s="16">
        <f>Artículos[[#This Row],[Existencias iniciales]]+Artículos[[#This Row],[Entradas]]-Artículos[[#This Row],[Salidas]]</f>
        <v>0</v>
      </c>
      <c r="M255" s="16"/>
      <c r="N255" s="16"/>
    </row>
    <row r="256" spans="1:14" ht="14.4" hidden="1" customHeight="1" x14ac:dyDescent="0.3">
      <c r="A256" s="29"/>
      <c r="B256" s="15"/>
      <c r="C256" s="16"/>
      <c r="D256" s="29"/>
      <c r="E256" s="29"/>
      <c r="F256" s="51"/>
      <c r="G256" s="14"/>
      <c r="H256" s="14"/>
      <c r="I256" s="14"/>
      <c r="J256" s="16">
        <f>SUMIFS(Entradas!G:G,Entradas!E:E,Artículos[[#This Row],[Código]])</f>
        <v>0</v>
      </c>
      <c r="K256" s="16">
        <f>SUMIFS(Salidas!G:G,Salidas!E:E,Artículos[[#This Row],[Código]])</f>
        <v>0</v>
      </c>
      <c r="L256" s="16">
        <f>Artículos[[#This Row],[Existencias iniciales]]+Artículos[[#This Row],[Entradas]]-Artículos[[#This Row],[Salidas]]</f>
        <v>0</v>
      </c>
      <c r="M256" s="16"/>
      <c r="N256" s="16"/>
    </row>
    <row r="257" spans="1:14" ht="14.4" hidden="1" customHeight="1" x14ac:dyDescent="0.3">
      <c r="A257" s="29"/>
      <c r="B257" s="15"/>
      <c r="C257" s="16"/>
      <c r="D257" s="29"/>
      <c r="E257" s="29"/>
      <c r="F257" s="51"/>
      <c r="G257" s="14"/>
      <c r="H257" s="14"/>
      <c r="I257" s="14"/>
      <c r="J257" s="16">
        <f>SUMIFS(Entradas!G:G,Entradas!E:E,Artículos[[#This Row],[Código]])</f>
        <v>0</v>
      </c>
      <c r="K257" s="16">
        <f>SUMIFS(Salidas!G:G,Salidas!E:E,Artículos[[#This Row],[Código]])</f>
        <v>0</v>
      </c>
      <c r="L257" s="16">
        <f>Artículos[[#This Row],[Existencias iniciales]]+Artículos[[#This Row],[Entradas]]-Artículos[[#This Row],[Salidas]]</f>
        <v>0</v>
      </c>
      <c r="M257" s="16"/>
      <c r="N257" s="16"/>
    </row>
    <row r="258" spans="1:14" ht="14.4" hidden="1" customHeight="1" x14ac:dyDescent="0.3">
      <c r="A258" s="29"/>
      <c r="B258" s="15"/>
      <c r="C258" s="16"/>
      <c r="D258" s="29"/>
      <c r="E258" s="29"/>
      <c r="F258" s="51"/>
      <c r="G258" s="14"/>
      <c r="H258" s="14"/>
      <c r="I258" s="14"/>
      <c r="J258" s="16">
        <f>SUMIFS(Entradas!G:G,Entradas!E:E,Artículos[[#This Row],[Código]])</f>
        <v>0</v>
      </c>
      <c r="K258" s="16">
        <f>SUMIFS(Salidas!G:G,Salidas!E:E,Artículos[[#This Row],[Código]])</f>
        <v>0</v>
      </c>
      <c r="L258" s="16">
        <f>Artículos[[#This Row],[Existencias iniciales]]+Artículos[[#This Row],[Entradas]]-Artículos[[#This Row],[Salidas]]</f>
        <v>0</v>
      </c>
      <c r="M258" s="16"/>
      <c r="N258" s="16"/>
    </row>
    <row r="259" spans="1:14" ht="14.4" hidden="1" customHeight="1" x14ac:dyDescent="0.3">
      <c r="A259" s="29"/>
      <c r="B259" s="15"/>
      <c r="C259" s="16"/>
      <c r="D259" s="29"/>
      <c r="E259" s="29"/>
      <c r="F259" s="51"/>
      <c r="G259" s="14"/>
      <c r="H259" s="14"/>
      <c r="I259" s="14"/>
      <c r="J259" s="16">
        <f>SUMIFS(Entradas!G:G,Entradas!E:E,Artículos[[#This Row],[Código]])</f>
        <v>0</v>
      </c>
      <c r="K259" s="16">
        <f>SUMIFS(Salidas!G:G,Salidas!E:E,Artículos[[#This Row],[Código]])</f>
        <v>0</v>
      </c>
      <c r="L259" s="16">
        <f>Artículos[[#This Row],[Existencias iniciales]]+Artículos[[#This Row],[Entradas]]-Artículos[[#This Row],[Salidas]]</f>
        <v>0</v>
      </c>
      <c r="M259" s="16"/>
      <c r="N259" s="16"/>
    </row>
    <row r="260" spans="1:14" ht="14.4" hidden="1" customHeight="1" x14ac:dyDescent="0.3">
      <c r="A260" s="29"/>
      <c r="B260" s="15"/>
      <c r="C260" s="16"/>
      <c r="D260" s="29"/>
      <c r="E260" s="29"/>
      <c r="F260" s="51"/>
      <c r="G260" s="14"/>
      <c r="H260" s="14"/>
      <c r="I260" s="14"/>
      <c r="J260" s="16">
        <f>SUMIFS(Entradas!G:G,Entradas!E:E,Artículos[[#This Row],[Código]])</f>
        <v>0</v>
      </c>
      <c r="K260" s="16">
        <f>SUMIFS(Salidas!G:G,Salidas!E:E,Artículos[[#This Row],[Código]])</f>
        <v>0</v>
      </c>
      <c r="L260" s="16">
        <f>Artículos[[#This Row],[Existencias iniciales]]+Artículos[[#This Row],[Entradas]]-Artículos[[#This Row],[Salidas]]</f>
        <v>0</v>
      </c>
      <c r="M260" s="16"/>
      <c r="N260" s="16"/>
    </row>
    <row r="261" spans="1:14" ht="14.4" hidden="1" customHeight="1" x14ac:dyDescent="0.3">
      <c r="A261" s="29"/>
      <c r="B261" s="15"/>
      <c r="C261" s="16"/>
      <c r="D261" s="29"/>
      <c r="E261" s="29"/>
      <c r="F261" s="51"/>
      <c r="G261" s="14"/>
      <c r="H261" s="14"/>
      <c r="I261" s="14"/>
      <c r="J261" s="16">
        <f>SUMIFS(Entradas!G:G,Entradas!E:E,Artículos[[#This Row],[Código]])</f>
        <v>0</v>
      </c>
      <c r="K261" s="16">
        <f>SUMIFS(Salidas!G:G,Salidas!E:E,Artículos[[#This Row],[Código]])</f>
        <v>0</v>
      </c>
      <c r="L261" s="16">
        <f>Artículos[[#This Row],[Existencias iniciales]]+Artículos[[#This Row],[Entradas]]-Artículos[[#This Row],[Salidas]]</f>
        <v>0</v>
      </c>
      <c r="M261" s="16"/>
      <c r="N261" s="16"/>
    </row>
    <row r="262" spans="1:14" ht="14.4" hidden="1" customHeight="1" x14ac:dyDescent="0.3">
      <c r="A262" s="29"/>
      <c r="B262" s="15"/>
      <c r="C262" s="16"/>
      <c r="D262" s="29"/>
      <c r="E262" s="29"/>
      <c r="F262" s="51"/>
      <c r="G262" s="14"/>
      <c r="H262" s="14"/>
      <c r="I262" s="14"/>
      <c r="J262" s="16">
        <f>SUMIFS(Entradas!G:G,Entradas!E:E,Artículos[[#This Row],[Código]])</f>
        <v>0</v>
      </c>
      <c r="K262" s="16">
        <f>SUMIFS(Salidas!G:G,Salidas!E:E,Artículos[[#This Row],[Código]])</f>
        <v>0</v>
      </c>
      <c r="L262" s="16">
        <f>Artículos[[#This Row],[Existencias iniciales]]+Artículos[[#This Row],[Entradas]]-Artículos[[#This Row],[Salidas]]</f>
        <v>0</v>
      </c>
      <c r="M262" s="16"/>
      <c r="N262" s="16"/>
    </row>
    <row r="263" spans="1:14" ht="14.4" hidden="1" customHeight="1" x14ac:dyDescent="0.3">
      <c r="A263" s="29"/>
      <c r="B263" s="15"/>
      <c r="C263" s="16"/>
      <c r="D263" s="29"/>
      <c r="E263" s="29"/>
      <c r="F263" s="51"/>
      <c r="G263" s="14"/>
      <c r="H263" s="14"/>
      <c r="I263" s="14"/>
      <c r="J263" s="16">
        <f>SUMIFS(Entradas!G:G,Entradas!E:E,Artículos[[#This Row],[Código]])</f>
        <v>0</v>
      </c>
      <c r="K263" s="16">
        <f>SUMIFS(Salidas!G:G,Salidas!E:E,Artículos[[#This Row],[Código]])</f>
        <v>0</v>
      </c>
      <c r="L263" s="16">
        <f>Artículos[[#This Row],[Existencias iniciales]]+Artículos[[#This Row],[Entradas]]-Artículos[[#This Row],[Salidas]]</f>
        <v>0</v>
      </c>
      <c r="M263" s="16"/>
      <c r="N263" s="16"/>
    </row>
    <row r="264" spans="1:14" ht="14.4" hidden="1" customHeight="1" x14ac:dyDescent="0.3">
      <c r="A264" s="29"/>
      <c r="B264" s="15"/>
      <c r="C264" s="16"/>
      <c r="D264" s="29"/>
      <c r="E264" s="29"/>
      <c r="F264" s="51"/>
      <c r="G264" s="14"/>
      <c r="H264" s="14"/>
      <c r="I264" s="14"/>
      <c r="J264" s="16">
        <f>SUMIFS(Entradas!G:G,Entradas!E:E,Artículos[[#This Row],[Código]])</f>
        <v>0</v>
      </c>
      <c r="K264" s="16">
        <f>SUMIFS(Salidas!G:G,Salidas!E:E,Artículos[[#This Row],[Código]])</f>
        <v>0</v>
      </c>
      <c r="L264" s="16">
        <f>Artículos[[#This Row],[Existencias iniciales]]+Artículos[[#This Row],[Entradas]]-Artículos[[#This Row],[Salidas]]</f>
        <v>0</v>
      </c>
      <c r="M264" s="16"/>
      <c r="N264" s="16"/>
    </row>
    <row r="265" spans="1:14" ht="14.4" hidden="1" customHeight="1" x14ac:dyDescent="0.3">
      <c r="A265" s="29"/>
      <c r="B265" s="15"/>
      <c r="C265" s="16"/>
      <c r="D265" s="29"/>
      <c r="E265" s="29"/>
      <c r="F265" s="51"/>
      <c r="G265" s="14"/>
      <c r="H265" s="14"/>
      <c r="I265" s="14"/>
      <c r="J265" s="16">
        <f>SUMIFS(Entradas!G:G,Entradas!E:E,Artículos[[#This Row],[Código]])</f>
        <v>0</v>
      </c>
      <c r="K265" s="16">
        <f>SUMIFS(Salidas!G:G,Salidas!E:E,Artículos[[#This Row],[Código]])</f>
        <v>0</v>
      </c>
      <c r="L265" s="16">
        <f>Artículos[[#This Row],[Existencias iniciales]]+Artículos[[#This Row],[Entradas]]-Artículos[[#This Row],[Salidas]]</f>
        <v>0</v>
      </c>
      <c r="M265" s="16"/>
      <c r="N265" s="16"/>
    </row>
    <row r="266" spans="1:14" ht="14.4" hidden="1" customHeight="1" x14ac:dyDescent="0.3">
      <c r="A266" s="29"/>
      <c r="B266" s="15"/>
      <c r="C266" s="16"/>
      <c r="D266" s="29"/>
      <c r="E266" s="29"/>
      <c r="F266" s="51"/>
      <c r="G266" s="14"/>
      <c r="H266" s="14"/>
      <c r="I266" s="14"/>
      <c r="J266" s="16">
        <f>SUMIFS(Entradas!G:G,Entradas!E:E,Artículos[[#This Row],[Código]])</f>
        <v>0</v>
      </c>
      <c r="K266" s="16">
        <f>SUMIFS(Salidas!G:G,Salidas!E:E,Artículos[[#This Row],[Código]])</f>
        <v>0</v>
      </c>
      <c r="L266" s="16">
        <f>Artículos[[#This Row],[Existencias iniciales]]+Artículos[[#This Row],[Entradas]]-Artículos[[#This Row],[Salidas]]</f>
        <v>0</v>
      </c>
      <c r="M266" s="16"/>
      <c r="N266" s="16"/>
    </row>
    <row r="267" spans="1:14" ht="14.4" hidden="1" customHeight="1" x14ac:dyDescent="0.3">
      <c r="A267" s="29"/>
      <c r="B267" s="15"/>
      <c r="C267" s="16"/>
      <c r="D267" s="29"/>
      <c r="E267" s="29"/>
      <c r="F267" s="51"/>
      <c r="G267" s="14"/>
      <c r="H267" s="14"/>
      <c r="I267" s="14"/>
      <c r="J267" s="16">
        <f>SUMIFS(Entradas!G:G,Entradas!E:E,Artículos[[#This Row],[Código]])</f>
        <v>0</v>
      </c>
      <c r="K267" s="16">
        <f>SUMIFS(Salidas!G:G,Salidas!E:E,Artículos[[#This Row],[Código]])</f>
        <v>0</v>
      </c>
      <c r="L267" s="16">
        <f>Artículos[[#This Row],[Existencias iniciales]]+Artículos[[#This Row],[Entradas]]-Artículos[[#This Row],[Salidas]]</f>
        <v>0</v>
      </c>
      <c r="M267" s="16"/>
      <c r="N267" s="16"/>
    </row>
    <row r="268" spans="1:14" ht="14.4" hidden="1" customHeight="1" x14ac:dyDescent="0.3">
      <c r="A268" s="29" t="s">
        <v>978</v>
      </c>
      <c r="B268" s="15"/>
      <c r="C268" s="16" t="e">
        <f>IF([2]!Artículos4[[#This Row],[Proveedor (código)]]="","",VLOOKUP([2]!Artículos4[[#This Row],[Proveedor (código)]],[2]Proveedores!A:B,2,FALSE))</f>
        <v>#REF!</v>
      </c>
      <c r="D268" s="29" t="s">
        <v>325</v>
      </c>
      <c r="E268" s="29" t="s">
        <v>71</v>
      </c>
      <c r="F268" s="51"/>
      <c r="G268" s="14"/>
      <c r="H268" s="14"/>
      <c r="I268" s="14"/>
      <c r="J268" s="16">
        <f>SUMIFS(Entradas!G:G,Entradas!E:E,Artículos[[#This Row],[Código]])</f>
        <v>0</v>
      </c>
      <c r="K268" s="16">
        <f>SUMIFS(Salidas!G:G,Salidas!E:E,Artículos[[#This Row],[Código]])</f>
        <v>0</v>
      </c>
      <c r="L268" s="16">
        <f>Artículos[[#This Row],[Existencias iniciales]]+Artículos[[#This Row],[Entradas]]-Artículos[[#This Row],[Salidas]]</f>
        <v>0</v>
      </c>
      <c r="M268" s="16"/>
      <c r="N268" s="16"/>
    </row>
    <row r="269" spans="1:14" ht="14.4" hidden="1" customHeight="1" x14ac:dyDescent="0.3">
      <c r="A269" s="29" t="s">
        <v>979</v>
      </c>
      <c r="B269" s="15"/>
      <c r="C269" s="16" t="e">
        <f>IF([2]!Artículos4[[#This Row],[Proveedor (código)]]="","",VLOOKUP([2]!Artículos4[[#This Row],[Proveedor (código)]],[2]Proveedores!A:B,2,FALSE))</f>
        <v>#REF!</v>
      </c>
      <c r="D269" s="29" t="s">
        <v>327</v>
      </c>
      <c r="E269" s="29" t="s">
        <v>71</v>
      </c>
      <c r="F269" s="51"/>
      <c r="G269" s="14"/>
      <c r="H269" s="14"/>
      <c r="I269" s="14"/>
      <c r="J269" s="16">
        <f>SUMIFS(Entradas!G:G,Entradas!E:E,Artículos[[#This Row],[Código]])</f>
        <v>0</v>
      </c>
      <c r="K269" s="16">
        <f>SUMIFS(Salidas!G:G,Salidas!E:E,Artículos[[#This Row],[Código]])</f>
        <v>0</v>
      </c>
      <c r="L269" s="16">
        <f>Artículos[[#This Row],[Existencias iniciales]]+Artículos[[#This Row],[Entradas]]-Artículos[[#This Row],[Salidas]]</f>
        <v>0</v>
      </c>
      <c r="M269" s="16"/>
      <c r="N269" s="16"/>
    </row>
    <row r="270" spans="1:14" ht="14.4" hidden="1" customHeight="1" x14ac:dyDescent="0.3">
      <c r="A270" s="29" t="s">
        <v>980</v>
      </c>
      <c r="B270" s="15"/>
      <c r="C270" s="16" t="e">
        <f>IF([2]!Artículos4[[#This Row],[Proveedor (código)]]="","",VLOOKUP([2]!Artículos4[[#This Row],[Proveedor (código)]],[2]Proveedores!A:B,2,FALSE))</f>
        <v>#REF!</v>
      </c>
      <c r="D270" s="29" t="s">
        <v>328</v>
      </c>
      <c r="E270" s="29" t="s">
        <v>71</v>
      </c>
      <c r="F270" s="51"/>
      <c r="G270" s="14"/>
      <c r="H270" s="14"/>
      <c r="I270" s="14"/>
      <c r="J270" s="16">
        <f>SUMIFS(Entradas!G:G,Entradas!E:E,Artículos[[#This Row],[Código]])</f>
        <v>0</v>
      </c>
      <c r="K270" s="16">
        <f>SUMIFS(Salidas!G:G,Salidas!E:E,Artículos[[#This Row],[Código]])</f>
        <v>0</v>
      </c>
      <c r="L270" s="16">
        <f>Artículos[[#This Row],[Existencias iniciales]]+Artículos[[#This Row],[Entradas]]-Artículos[[#This Row],[Salidas]]</f>
        <v>0</v>
      </c>
      <c r="M270" s="16"/>
      <c r="N270" s="16"/>
    </row>
    <row r="271" spans="1:14" ht="14.4" hidden="1" customHeight="1" x14ac:dyDescent="0.3">
      <c r="A271" s="29" t="s">
        <v>981</v>
      </c>
      <c r="B271" s="15"/>
      <c r="C271" s="16" t="e">
        <f>IF([2]!Artículos4[[#This Row],[Proveedor (código)]]="","",VLOOKUP([2]!Artículos4[[#This Row],[Proveedor (código)]],[2]Proveedores!A:B,2,FALSE))</f>
        <v>#REF!</v>
      </c>
      <c r="D271" s="29" t="s">
        <v>329</v>
      </c>
      <c r="E271" s="29" t="s">
        <v>71</v>
      </c>
      <c r="F271" s="51"/>
      <c r="G271" s="14"/>
      <c r="H271" s="14"/>
      <c r="I271" s="14"/>
      <c r="J271" s="16">
        <f>SUMIFS(Entradas!G:G,Entradas!E:E,Artículos[[#This Row],[Código]])</f>
        <v>0</v>
      </c>
      <c r="K271" s="16">
        <f>SUMIFS(Salidas!G:G,Salidas!E:E,Artículos[[#This Row],[Código]])</f>
        <v>0</v>
      </c>
      <c r="L271" s="16">
        <f>Artículos[[#This Row],[Existencias iniciales]]+Artículos[[#This Row],[Entradas]]-Artículos[[#This Row],[Salidas]]</f>
        <v>0</v>
      </c>
      <c r="M271" s="16"/>
      <c r="N271" s="16"/>
    </row>
    <row r="272" spans="1:14" ht="14.4" hidden="1" customHeight="1" x14ac:dyDescent="0.3">
      <c r="A272" s="29" t="s">
        <v>982</v>
      </c>
      <c r="B272" s="15"/>
      <c r="C272" s="16" t="e">
        <f>IF([2]!Artículos4[[#This Row],[Proveedor (código)]]="","",VLOOKUP([2]!Artículos4[[#This Row],[Proveedor (código)]],[2]Proveedores!A:B,2,FALSE))</f>
        <v>#REF!</v>
      </c>
      <c r="D272" s="29" t="s">
        <v>330</v>
      </c>
      <c r="E272" s="29" t="s">
        <v>71</v>
      </c>
      <c r="F272" s="51"/>
      <c r="G272" s="14"/>
      <c r="H272" s="14"/>
      <c r="I272" s="14"/>
      <c r="J272" s="16">
        <f>SUMIFS(Entradas!G:G,Entradas!E:E,Artículos[[#This Row],[Código]])</f>
        <v>0</v>
      </c>
      <c r="K272" s="16">
        <f>SUMIFS(Salidas!G:G,Salidas!E:E,Artículos[[#This Row],[Código]])</f>
        <v>0</v>
      </c>
      <c r="L272" s="16">
        <f>Artículos[[#This Row],[Existencias iniciales]]+Artículos[[#This Row],[Entradas]]-Artículos[[#This Row],[Salidas]]</f>
        <v>0</v>
      </c>
      <c r="M272" s="16"/>
      <c r="N272" s="16"/>
    </row>
    <row r="273" spans="1:14" ht="14.4" hidden="1" customHeight="1" x14ac:dyDescent="0.3">
      <c r="A273" s="29" t="s">
        <v>983</v>
      </c>
      <c r="B273" s="15"/>
      <c r="C273" s="16" t="e">
        <f>IF([2]!Artículos4[[#This Row],[Proveedor (código)]]="","",VLOOKUP([2]!Artículos4[[#This Row],[Proveedor (código)]],[2]Proveedores!A:B,2,FALSE))</f>
        <v>#REF!</v>
      </c>
      <c r="D273" s="29" t="s">
        <v>331</v>
      </c>
      <c r="E273" s="29" t="s">
        <v>71</v>
      </c>
      <c r="F273" s="51"/>
      <c r="G273" s="14"/>
      <c r="H273" s="14"/>
      <c r="I273" s="14"/>
      <c r="J273" s="16">
        <f>SUMIFS(Entradas!G:G,Entradas!E:E,Artículos[[#This Row],[Código]])</f>
        <v>0</v>
      </c>
      <c r="K273" s="16">
        <f>SUMIFS(Salidas!G:G,Salidas!E:E,Artículos[[#This Row],[Código]])</f>
        <v>0</v>
      </c>
      <c r="L273" s="16">
        <f>Artículos[[#This Row],[Existencias iniciales]]+Artículos[[#This Row],[Entradas]]-Artículos[[#This Row],[Salidas]]</f>
        <v>0</v>
      </c>
      <c r="M273" s="16"/>
      <c r="N273" s="16"/>
    </row>
    <row r="274" spans="1:14" ht="14.4" hidden="1" customHeight="1" x14ac:dyDescent="0.3">
      <c r="A274" s="29" t="s">
        <v>984</v>
      </c>
      <c r="B274" s="15"/>
      <c r="C274" s="16" t="e">
        <f>IF([2]!Artículos4[[#This Row],[Proveedor (código)]]="","",VLOOKUP([2]!Artículos4[[#This Row],[Proveedor (código)]],[2]Proveedores!A:B,2,FALSE))</f>
        <v>#REF!</v>
      </c>
      <c r="D274" s="29" t="s">
        <v>332</v>
      </c>
      <c r="E274" s="29" t="s">
        <v>71</v>
      </c>
      <c r="F274" s="51"/>
      <c r="G274" s="14"/>
      <c r="H274" s="14"/>
      <c r="I274" s="14">
        <v>6</v>
      </c>
      <c r="J274" s="16">
        <f>SUMIFS(Entradas!G:G,Entradas!E:E,Artículos[[#This Row],[Código]])</f>
        <v>0</v>
      </c>
      <c r="K274" s="16">
        <f>SUMIFS(Salidas!G:G,Salidas!E:E,Artículos[[#This Row],[Código]])</f>
        <v>0</v>
      </c>
      <c r="L274" s="16">
        <f>Artículos[[#This Row],[Existencias iniciales]]+Artículos[[#This Row],[Entradas]]-Artículos[[#This Row],[Salidas]]</f>
        <v>6</v>
      </c>
      <c r="M274" s="16"/>
      <c r="N274" s="16"/>
    </row>
    <row r="275" spans="1:14" ht="14.4" hidden="1" customHeight="1" x14ac:dyDescent="0.3">
      <c r="A275" s="29" t="s">
        <v>985</v>
      </c>
      <c r="B275" s="15"/>
      <c r="C275" s="16" t="e">
        <f>IF([2]!Artículos4[[#This Row],[Proveedor (código)]]="","",VLOOKUP([2]!Artículos4[[#This Row],[Proveedor (código)]],[2]Proveedores!A:B,2,FALSE))</f>
        <v>#REF!</v>
      </c>
      <c r="D275" s="29"/>
      <c r="E275" s="29" t="s">
        <v>71</v>
      </c>
      <c r="F275" s="51"/>
      <c r="G275" s="14"/>
      <c r="H275" s="14"/>
      <c r="I275" s="14"/>
      <c r="J275" s="16">
        <f>SUMIFS(Entradas!G:G,Entradas!E:E,Artículos[[#This Row],[Código]])</f>
        <v>0</v>
      </c>
      <c r="K275" s="16">
        <f>SUMIFS(Salidas!G:G,Salidas!E:E,Artículos[[#This Row],[Código]])</f>
        <v>0</v>
      </c>
      <c r="L275" s="16">
        <f>Artículos[[#This Row],[Existencias iniciales]]+Artículos[[#This Row],[Entradas]]-Artículos[[#This Row],[Salidas]]</f>
        <v>0</v>
      </c>
      <c r="M275" s="16"/>
      <c r="N275" s="16"/>
    </row>
    <row r="276" spans="1:14" ht="14.4" hidden="1" customHeight="1" x14ac:dyDescent="0.3">
      <c r="A276" s="29" t="s">
        <v>986</v>
      </c>
      <c r="B276" s="15"/>
      <c r="C276" s="16" t="e">
        <f>IF([2]!Artículos4[[#This Row],[Proveedor (código)]]="","",VLOOKUP([2]!Artículos4[[#This Row],[Proveedor (código)]],[2]Proveedores!A:B,2,FALSE))</f>
        <v>#REF!</v>
      </c>
      <c r="D276" s="29"/>
      <c r="E276" s="29" t="s">
        <v>71</v>
      </c>
      <c r="F276" s="51"/>
      <c r="G276" s="14"/>
      <c r="H276" s="14"/>
      <c r="I276" s="14"/>
      <c r="J276" s="16">
        <f>SUMIFS(Entradas!G:G,Entradas!E:E,Artículos[[#This Row],[Código]])</f>
        <v>0</v>
      </c>
      <c r="K276" s="16">
        <f>SUMIFS(Salidas!G:G,Salidas!E:E,Artículos[[#This Row],[Código]])</f>
        <v>0</v>
      </c>
      <c r="L276" s="16">
        <f>Artículos[[#This Row],[Existencias iniciales]]+Artículos[[#This Row],[Entradas]]-Artículos[[#This Row],[Salidas]]</f>
        <v>0</v>
      </c>
      <c r="M276" s="16"/>
      <c r="N276" s="16"/>
    </row>
    <row r="277" spans="1:14" ht="14.4" hidden="1" customHeight="1" x14ac:dyDescent="0.3">
      <c r="A277" s="29" t="s">
        <v>987</v>
      </c>
      <c r="B277" s="15"/>
      <c r="C277" s="16" t="e">
        <f>IF([2]!Artículos4[[#This Row],[Proveedor (código)]]="","",VLOOKUP([2]!Artículos4[[#This Row],[Proveedor (código)]],[2]Proveedores!A:B,2,FALSE))</f>
        <v>#REF!</v>
      </c>
      <c r="D277" s="29"/>
      <c r="E277" s="29" t="s">
        <v>71</v>
      </c>
      <c r="F277" s="51"/>
      <c r="G277" s="14"/>
      <c r="H277" s="14"/>
      <c r="I277" s="14"/>
      <c r="J277" s="16">
        <f>SUMIFS(Entradas!G:G,Entradas!E:E,Artículos[[#This Row],[Código]])</f>
        <v>0</v>
      </c>
      <c r="K277" s="16">
        <f>SUMIFS(Salidas!G:G,Salidas!E:E,Artículos[[#This Row],[Código]])</f>
        <v>0</v>
      </c>
      <c r="L277" s="16">
        <f>Artículos[[#This Row],[Existencias iniciales]]+Artículos[[#This Row],[Entradas]]-Artículos[[#This Row],[Salidas]]</f>
        <v>0</v>
      </c>
      <c r="M277" s="16"/>
      <c r="N277" s="16"/>
    </row>
    <row r="278" spans="1:14" ht="14.4" hidden="1" customHeight="1" x14ac:dyDescent="0.3">
      <c r="A278" s="29" t="s">
        <v>988</v>
      </c>
      <c r="B278" s="15"/>
      <c r="C278" s="16" t="e">
        <f>IF([2]!Artículos4[[#This Row],[Proveedor (código)]]="","",VLOOKUP([2]!Artículos4[[#This Row],[Proveedor (código)]],[2]Proveedores!A:B,2,FALSE))</f>
        <v>#REF!</v>
      </c>
      <c r="D278" s="29"/>
      <c r="E278" s="29" t="s">
        <v>71</v>
      </c>
      <c r="F278" s="51"/>
      <c r="G278" s="14"/>
      <c r="H278" s="14"/>
      <c r="I278" s="14"/>
      <c r="J278" s="16">
        <f>SUMIFS(Entradas!G:G,Entradas!E:E,Artículos[[#This Row],[Código]])</f>
        <v>0</v>
      </c>
      <c r="K278" s="16">
        <f>SUMIFS(Salidas!G:G,Salidas!E:E,Artículos[[#This Row],[Código]])</f>
        <v>0</v>
      </c>
      <c r="L278" s="16">
        <f>Artículos[[#This Row],[Existencias iniciales]]+Artículos[[#This Row],[Entradas]]-Artículos[[#This Row],[Salidas]]</f>
        <v>0</v>
      </c>
      <c r="M278" s="16"/>
      <c r="N278" s="16"/>
    </row>
    <row r="279" spans="1:14" ht="14.4" hidden="1" customHeight="1" x14ac:dyDescent="0.3">
      <c r="A279" s="29" t="s">
        <v>706</v>
      </c>
      <c r="B279" s="15"/>
      <c r="C279" s="16" t="e">
        <f>IF([2]!Artículos4[[#This Row],[Proveedor (código)]]="","",VLOOKUP([2]!Artículos4[[#This Row],[Proveedor (código)]],[2]Proveedores!A:B,2,FALSE))</f>
        <v>#REF!</v>
      </c>
      <c r="D279" s="29" t="s">
        <v>333</v>
      </c>
      <c r="E279" s="29" t="s">
        <v>334</v>
      </c>
      <c r="F279" s="51"/>
      <c r="G279" s="14"/>
      <c r="H279" s="14"/>
      <c r="I279" s="14"/>
      <c r="J279" s="16">
        <f>SUMIFS(Entradas!G:G,Entradas!E:E,Artículos[[#This Row],[Código]])</f>
        <v>0</v>
      </c>
      <c r="K279" s="16">
        <f>SUMIFS(Salidas!G:G,Salidas!E:E,Artículos[[#This Row],[Código]])</f>
        <v>0</v>
      </c>
      <c r="L279" s="16">
        <f>Artículos[[#This Row],[Existencias iniciales]]+Artículos[[#This Row],[Entradas]]-Artículos[[#This Row],[Salidas]]</f>
        <v>0</v>
      </c>
      <c r="M279" s="16"/>
      <c r="N279" s="16"/>
    </row>
    <row r="280" spans="1:14" ht="14.4" hidden="1" customHeight="1" x14ac:dyDescent="0.3">
      <c r="A280" s="29" t="s">
        <v>707</v>
      </c>
      <c r="B280" s="15"/>
      <c r="C280" s="16" t="e">
        <f>IF([2]!Artículos4[[#This Row],[Proveedor (código)]]="","",VLOOKUP([2]!Artículos4[[#This Row],[Proveedor (código)]],[2]Proveedores!A:B,2,FALSE))</f>
        <v>#REF!</v>
      </c>
      <c r="D280" s="29" t="s">
        <v>335</v>
      </c>
      <c r="E280" s="29" t="s">
        <v>334</v>
      </c>
      <c r="F280" s="51"/>
      <c r="G280" s="14"/>
      <c r="H280" s="14"/>
      <c r="I280" s="14"/>
      <c r="J280" s="16">
        <f>SUMIFS(Entradas!G:G,Entradas!E:E,Artículos[[#This Row],[Código]])</f>
        <v>0</v>
      </c>
      <c r="K280" s="16">
        <f>SUMIFS(Salidas!G:G,Salidas!E:E,Artículos[[#This Row],[Código]])</f>
        <v>0</v>
      </c>
      <c r="L280" s="16">
        <f>Artículos[[#This Row],[Existencias iniciales]]+Artículos[[#This Row],[Entradas]]-Artículos[[#This Row],[Salidas]]</f>
        <v>0</v>
      </c>
      <c r="M280" s="16"/>
      <c r="N280" s="16"/>
    </row>
    <row r="281" spans="1:14" ht="14.4" hidden="1" customHeight="1" x14ac:dyDescent="0.3">
      <c r="A281" s="29" t="s">
        <v>708</v>
      </c>
      <c r="B281" s="15"/>
      <c r="C281" s="16" t="e">
        <f>IF([2]!Artículos4[[#This Row],[Proveedor (código)]]="","",VLOOKUP([2]!Artículos4[[#This Row],[Proveedor (código)]],[2]Proveedores!A:B,2,FALSE))</f>
        <v>#REF!</v>
      </c>
      <c r="D281" s="29" t="s">
        <v>336</v>
      </c>
      <c r="E281" s="29" t="s">
        <v>334</v>
      </c>
      <c r="F281" s="51"/>
      <c r="G281" s="14"/>
      <c r="H281" s="14"/>
      <c r="I281" s="14"/>
      <c r="J281" s="16">
        <f>SUMIFS(Entradas!G:G,Entradas!E:E,Artículos[[#This Row],[Código]])</f>
        <v>0</v>
      </c>
      <c r="K281" s="16">
        <f>SUMIFS(Salidas!G:G,Salidas!E:E,Artículos[[#This Row],[Código]])</f>
        <v>4</v>
      </c>
      <c r="L281" s="16">
        <f>Artículos[[#This Row],[Existencias iniciales]]+Artículos[[#This Row],[Entradas]]-Artículos[[#This Row],[Salidas]]</f>
        <v>-4</v>
      </c>
      <c r="M281" s="16"/>
      <c r="N281" s="16"/>
    </row>
    <row r="282" spans="1:14" ht="14.4" hidden="1" customHeight="1" x14ac:dyDescent="0.3">
      <c r="A282" s="29" t="s">
        <v>709</v>
      </c>
      <c r="B282" s="15"/>
      <c r="C282" s="16" t="e">
        <f>IF([2]!Artículos4[[#This Row],[Proveedor (código)]]="","",VLOOKUP([2]!Artículos4[[#This Row],[Proveedor (código)]],[2]Proveedores!A:B,2,FALSE))</f>
        <v>#REF!</v>
      </c>
      <c r="D282" s="29" t="s">
        <v>337</v>
      </c>
      <c r="E282" s="29" t="s">
        <v>334</v>
      </c>
      <c r="F282" s="51">
        <v>1.67</v>
      </c>
      <c r="G282" s="14"/>
      <c r="H282" s="14"/>
      <c r="I282" s="14">
        <v>356</v>
      </c>
      <c r="J282" s="16">
        <f>SUMIFS(Entradas!G:G,Entradas!E:E,Artículos[[#This Row],[Código]])</f>
        <v>11</v>
      </c>
      <c r="K282" s="16">
        <f>SUMIFS(Salidas!G:G,Salidas!E:E,Artículos[[#This Row],[Código]])</f>
        <v>20</v>
      </c>
      <c r="L282" s="16">
        <f>Artículos[[#This Row],[Existencias iniciales]]+Artículos[[#This Row],[Entradas]]-Artículos[[#This Row],[Salidas]]</f>
        <v>347</v>
      </c>
      <c r="M282" s="16"/>
      <c r="N282" s="16"/>
    </row>
    <row r="283" spans="1:14" ht="14.4" hidden="1" customHeight="1" x14ac:dyDescent="0.3">
      <c r="A283" s="29" t="s">
        <v>710</v>
      </c>
      <c r="B283" s="15"/>
      <c r="C283" s="16" t="e">
        <f>IF([2]!Artículos4[[#This Row],[Proveedor (código)]]="","",VLOOKUP([2]!Artículos4[[#This Row],[Proveedor (código)]],[2]Proveedores!A:B,2,FALSE))</f>
        <v>#REF!</v>
      </c>
      <c r="D283" s="29" t="s">
        <v>338</v>
      </c>
      <c r="E283" s="29" t="s">
        <v>334</v>
      </c>
      <c r="F283" s="51"/>
      <c r="G283" s="14"/>
      <c r="H283" s="14"/>
      <c r="I283" s="14"/>
      <c r="J283" s="16">
        <f>SUMIFS(Entradas!G:G,Entradas!E:E,Artículos[[#This Row],[Código]])</f>
        <v>0</v>
      </c>
      <c r="K283" s="16">
        <f>SUMIFS(Salidas!G:G,Salidas!E:E,Artículos[[#This Row],[Código]])</f>
        <v>0</v>
      </c>
      <c r="L283" s="16">
        <f>Artículos[[#This Row],[Existencias iniciales]]+Artículos[[#This Row],[Entradas]]-Artículos[[#This Row],[Salidas]]</f>
        <v>0</v>
      </c>
      <c r="M283" s="16"/>
      <c r="N283" s="16"/>
    </row>
    <row r="284" spans="1:14" ht="14.4" hidden="1" customHeight="1" x14ac:dyDescent="0.3">
      <c r="A284" s="29" t="s">
        <v>711</v>
      </c>
      <c r="B284" s="15"/>
      <c r="C284" s="16" t="e">
        <f>IF([2]!Artículos4[[#This Row],[Proveedor (código)]]="","",VLOOKUP([2]!Artículos4[[#This Row],[Proveedor (código)]],[2]Proveedores!A:B,2,FALSE))</f>
        <v>#REF!</v>
      </c>
      <c r="D284" s="29" t="s">
        <v>339</v>
      </c>
      <c r="E284" s="29" t="s">
        <v>334</v>
      </c>
      <c r="F284" s="51"/>
      <c r="G284" s="14"/>
      <c r="H284" s="14"/>
      <c r="I284" s="14"/>
      <c r="J284" s="16">
        <f>SUMIFS(Entradas!G:G,Entradas!E:E,Artículos[[#This Row],[Código]])</f>
        <v>0</v>
      </c>
      <c r="K284" s="16">
        <f>SUMIFS(Salidas!G:G,Salidas!E:E,Artículos[[#This Row],[Código]])</f>
        <v>0</v>
      </c>
      <c r="L284" s="16">
        <f>Artículos[[#This Row],[Existencias iniciales]]+Artículos[[#This Row],[Entradas]]-Artículos[[#This Row],[Salidas]]</f>
        <v>0</v>
      </c>
      <c r="M284" s="16"/>
      <c r="N284" s="16"/>
    </row>
    <row r="285" spans="1:14" ht="14.4" hidden="1" customHeight="1" x14ac:dyDescent="0.3">
      <c r="A285" s="29" t="s">
        <v>712</v>
      </c>
      <c r="B285" s="15"/>
      <c r="C285" s="16" t="e">
        <f>IF([2]!Artículos4[[#This Row],[Proveedor (código)]]="","",VLOOKUP([2]!Artículos4[[#This Row],[Proveedor (código)]],[2]Proveedores!A:B,2,FALSE))</f>
        <v>#REF!</v>
      </c>
      <c r="D285" s="29" t="s">
        <v>340</v>
      </c>
      <c r="E285" s="29" t="s">
        <v>334</v>
      </c>
      <c r="F285" s="51"/>
      <c r="G285" s="14"/>
      <c r="H285" s="14"/>
      <c r="I285" s="14"/>
      <c r="J285" s="16">
        <f>SUMIFS(Entradas!G:G,Entradas!E:E,Artículos[[#This Row],[Código]])</f>
        <v>0</v>
      </c>
      <c r="K285" s="16">
        <f>SUMIFS(Salidas!G:G,Salidas!E:E,Artículos[[#This Row],[Código]])</f>
        <v>0</v>
      </c>
      <c r="L285" s="16">
        <f>Artículos[[#This Row],[Existencias iniciales]]+Artículos[[#This Row],[Entradas]]-Artículos[[#This Row],[Salidas]]</f>
        <v>0</v>
      </c>
      <c r="M285" s="16"/>
      <c r="N285" s="16"/>
    </row>
    <row r="286" spans="1:14" ht="14.4" hidden="1" customHeight="1" x14ac:dyDescent="0.3">
      <c r="A286" s="29" t="s">
        <v>713</v>
      </c>
      <c r="B286" s="15"/>
      <c r="C286" s="16" t="e">
        <f>IF([2]!Artículos4[[#This Row],[Proveedor (código)]]="","",VLOOKUP([2]!Artículos4[[#This Row],[Proveedor (código)]],[2]Proveedores!A:B,2,FALSE))</f>
        <v>#REF!</v>
      </c>
      <c r="D286" s="29" t="s">
        <v>341</v>
      </c>
      <c r="E286" s="29" t="s">
        <v>334</v>
      </c>
      <c r="F286" s="51"/>
      <c r="G286" s="14"/>
      <c r="H286" s="14"/>
      <c r="I286" s="14"/>
      <c r="J286" s="16">
        <f>SUMIFS(Entradas!G:G,Entradas!E:E,Artículos[[#This Row],[Código]])</f>
        <v>0</v>
      </c>
      <c r="K286" s="16">
        <f>SUMIFS(Salidas!G:G,Salidas!E:E,Artículos[[#This Row],[Código]])</f>
        <v>0</v>
      </c>
      <c r="L286" s="16">
        <f>Artículos[[#This Row],[Existencias iniciales]]+Artículos[[#This Row],[Entradas]]-Artículos[[#This Row],[Salidas]]</f>
        <v>0</v>
      </c>
      <c r="M286" s="16"/>
      <c r="N286" s="16"/>
    </row>
    <row r="287" spans="1:14" ht="14.4" hidden="1" customHeight="1" x14ac:dyDescent="0.3">
      <c r="A287" s="29" t="s">
        <v>717</v>
      </c>
      <c r="B287" s="15"/>
      <c r="C287" s="16" t="e">
        <f>IF([2]!Artículos4[[#This Row],[Proveedor (código)]]="","",VLOOKUP([2]!Artículos4[[#This Row],[Proveedor (código)]],[2]Proveedores!A:B,2,FALSE))</f>
        <v>#REF!</v>
      </c>
      <c r="D287" s="29" t="s">
        <v>342</v>
      </c>
      <c r="E287" s="29" t="s">
        <v>334</v>
      </c>
      <c r="F287" s="51"/>
      <c r="G287" s="14"/>
      <c r="H287" s="14"/>
      <c r="I287" s="14"/>
      <c r="J287" s="16">
        <f>SUMIFS(Entradas!G:G,Entradas!E:E,Artículos[[#This Row],[Código]])</f>
        <v>0</v>
      </c>
      <c r="K287" s="16">
        <f>SUMIFS(Salidas!G:G,Salidas!E:E,Artículos[[#This Row],[Código]])</f>
        <v>0</v>
      </c>
      <c r="L287" s="16">
        <f>Artículos[[#This Row],[Existencias iniciales]]+Artículos[[#This Row],[Entradas]]-Artículos[[#This Row],[Salidas]]</f>
        <v>0</v>
      </c>
      <c r="M287" s="16"/>
      <c r="N287" s="16"/>
    </row>
    <row r="288" spans="1:14" hidden="1" x14ac:dyDescent="0.3">
      <c r="A288" s="29" t="s">
        <v>825</v>
      </c>
      <c r="B288" s="15">
        <v>1</v>
      </c>
      <c r="C288" s="16" t="e">
        <f>IF([2]!Artículos4[[#This Row],[Proveedor (código)]]="","",VLOOKUP([2]!Artículos4[[#This Row],[Proveedor (código)]],[2]Proveedores!A:B,2,FALSE))</f>
        <v>#REF!</v>
      </c>
      <c r="D288" s="29" t="s">
        <v>343</v>
      </c>
      <c r="E288" s="29" t="s">
        <v>334</v>
      </c>
      <c r="F288" s="51"/>
      <c r="G288" s="14"/>
      <c r="H288" s="14"/>
      <c r="I288" s="14"/>
      <c r="J288" s="16">
        <f>SUMIFS(Entradas!G:G,Entradas!E:E,Artículos[[#This Row],[Código]])</f>
        <v>0</v>
      </c>
      <c r="K288" s="16">
        <f>SUMIFS(Salidas!G:G,Salidas!E:E,Artículos[[#This Row],[Código]])</f>
        <v>0</v>
      </c>
      <c r="L288" s="16">
        <f>Artículos[[#This Row],[Existencias iniciales]]+Artículos[[#This Row],[Entradas]]-Artículos[[#This Row],[Salidas]]</f>
        <v>0</v>
      </c>
      <c r="M288" s="16"/>
      <c r="N288" s="16"/>
    </row>
    <row r="289" spans="1:14" hidden="1" x14ac:dyDescent="0.3">
      <c r="A289" s="29" t="s">
        <v>826</v>
      </c>
      <c r="B289" s="15">
        <v>1</v>
      </c>
      <c r="C289" s="16" t="e">
        <f>IF([2]!Artículos4[[#This Row],[Proveedor (código)]]="","",VLOOKUP([2]!Artículos4[[#This Row],[Proveedor (código)]],[2]Proveedores!A:B,2,FALSE))</f>
        <v>#REF!</v>
      </c>
      <c r="D289" s="29" t="s">
        <v>344</v>
      </c>
      <c r="E289" s="29" t="s">
        <v>334</v>
      </c>
      <c r="F289" s="51"/>
      <c r="G289" s="14"/>
      <c r="H289" s="14"/>
      <c r="I289" s="14"/>
      <c r="J289" s="16">
        <f>SUMIFS(Entradas!G:G,Entradas!E:E,Artículos[[#This Row],[Código]])</f>
        <v>0</v>
      </c>
      <c r="K289" s="16">
        <f>SUMIFS(Salidas!G:G,Salidas!E:E,Artículos[[#This Row],[Código]])</f>
        <v>0</v>
      </c>
      <c r="L289" s="16">
        <f>Artículos[[#This Row],[Existencias iniciales]]+Artículos[[#This Row],[Entradas]]-Artículos[[#This Row],[Salidas]]</f>
        <v>0</v>
      </c>
      <c r="M289" s="16"/>
      <c r="N289" s="16"/>
    </row>
    <row r="290" spans="1:14" hidden="1" x14ac:dyDescent="0.3">
      <c r="A290" s="29" t="s">
        <v>827</v>
      </c>
      <c r="B290" s="15">
        <v>1</v>
      </c>
      <c r="C290" s="16" t="e">
        <f>IF([2]!Artículos4[[#This Row],[Proveedor (código)]]="","",VLOOKUP([2]!Artículos4[[#This Row],[Proveedor (código)]],[2]Proveedores!A:B,2,FALSE))</f>
        <v>#REF!</v>
      </c>
      <c r="D290" s="29" t="s">
        <v>345</v>
      </c>
      <c r="E290" s="29" t="s">
        <v>334</v>
      </c>
      <c r="F290" s="51"/>
      <c r="G290" s="14"/>
      <c r="H290" s="14"/>
      <c r="I290" s="14"/>
      <c r="J290" s="16">
        <f>SUMIFS(Entradas!G:G,Entradas!E:E,Artículos[[#This Row],[Código]])</f>
        <v>0</v>
      </c>
      <c r="K290" s="16">
        <f>SUMIFS(Salidas!G:G,Salidas!E:E,Artículos[[#This Row],[Código]])</f>
        <v>0</v>
      </c>
      <c r="L290" s="16">
        <f>Artículos[[#This Row],[Existencias iniciales]]+Artículos[[#This Row],[Entradas]]-Artículos[[#This Row],[Salidas]]</f>
        <v>0</v>
      </c>
      <c r="M290" s="16"/>
      <c r="N290" s="16"/>
    </row>
    <row r="291" spans="1:14" hidden="1" x14ac:dyDescent="0.3">
      <c r="A291" s="29" t="s">
        <v>828</v>
      </c>
      <c r="B291" s="15"/>
      <c r="C291" s="16" t="e">
        <f>IF([2]!Artículos4[[#This Row],[Proveedor (código)]]="","",VLOOKUP([2]!Artículos4[[#This Row],[Proveedor (código)]],[2]Proveedores!A:B,2,FALSE))</f>
        <v>#REF!</v>
      </c>
      <c r="D291" s="29" t="s">
        <v>346</v>
      </c>
      <c r="E291" s="29" t="s">
        <v>334</v>
      </c>
      <c r="F291" s="51"/>
      <c r="G291" s="14"/>
      <c r="H291" s="14"/>
      <c r="I291" s="38"/>
      <c r="J291" s="16">
        <f>SUMIFS(Entradas!G:G,Entradas!E:E,Artículos[[#This Row],[Código]])</f>
        <v>0</v>
      </c>
      <c r="K291" s="16">
        <f>SUMIFS(Salidas!G:G,Salidas!E:E,Artículos[[#This Row],[Código]])</f>
        <v>5.35</v>
      </c>
      <c r="L291" s="16">
        <f>Artículos[[#This Row],[Existencias iniciales]]+Artículos[[#This Row],[Entradas]]-Artículos[[#This Row],[Salidas]]</f>
        <v>-5.35</v>
      </c>
      <c r="M291" s="16"/>
      <c r="N291" s="16"/>
    </row>
    <row r="292" spans="1:14" hidden="1" x14ac:dyDescent="0.3">
      <c r="A292" s="29" t="s">
        <v>829</v>
      </c>
      <c r="B292" s="15"/>
      <c r="C292" s="16" t="e">
        <f>IF([2]!Artículos4[[#This Row],[Proveedor (código)]]="","",VLOOKUP([2]!Artículos4[[#This Row],[Proveedor (código)]],[2]Proveedores!A:B,2,FALSE))</f>
        <v>#REF!</v>
      </c>
      <c r="D292" s="29" t="s">
        <v>347</v>
      </c>
      <c r="E292" s="29" t="s">
        <v>334</v>
      </c>
      <c r="F292" s="51"/>
      <c r="G292" s="14"/>
      <c r="H292" s="14"/>
      <c r="I292" s="14">
        <v>3</v>
      </c>
      <c r="J292" s="16">
        <f>SUMIFS(Entradas!G:G,Entradas!E:E,Artículos[[#This Row],[Código]])</f>
        <v>0</v>
      </c>
      <c r="K292" s="16">
        <f>SUMIFS(Salidas!G:G,Salidas!E:E,Artículos[[#This Row],[Código]])</f>
        <v>0</v>
      </c>
      <c r="L292" s="16">
        <f>Artículos[[#This Row],[Existencias iniciales]]+Artículos[[#This Row],[Entradas]]-Artículos[[#This Row],[Salidas]]</f>
        <v>3</v>
      </c>
      <c r="M292" s="16"/>
      <c r="N292" s="16"/>
    </row>
    <row r="293" spans="1:14" hidden="1" x14ac:dyDescent="0.3">
      <c r="A293" s="29" t="s">
        <v>830</v>
      </c>
      <c r="B293" s="15"/>
      <c r="C293" s="16" t="e">
        <f>IF([2]!Artículos4[[#This Row],[Proveedor (código)]]="","",VLOOKUP([2]!Artículos4[[#This Row],[Proveedor (código)]],[2]Proveedores!A:B,2,FALSE))</f>
        <v>#REF!</v>
      </c>
      <c r="D293" s="29" t="s">
        <v>348</v>
      </c>
      <c r="E293" s="29" t="s">
        <v>334</v>
      </c>
      <c r="F293" s="51"/>
      <c r="G293" s="14"/>
      <c r="H293" s="14"/>
      <c r="I293" s="14"/>
      <c r="J293" s="16">
        <f>SUMIFS(Entradas!G:G,Entradas!E:E,Artículos[[#This Row],[Código]])</f>
        <v>0</v>
      </c>
      <c r="K293" s="16">
        <f>SUMIFS(Salidas!G:G,Salidas!E:E,Artículos[[#This Row],[Código]])</f>
        <v>0</v>
      </c>
      <c r="L293" s="16">
        <f>Artículos[[#This Row],[Existencias iniciales]]+Artículos[[#This Row],[Entradas]]-Artículos[[#This Row],[Salidas]]</f>
        <v>0</v>
      </c>
      <c r="M293" s="16"/>
      <c r="N293" s="16"/>
    </row>
    <row r="294" spans="1:14" hidden="1" x14ac:dyDescent="0.3">
      <c r="A294" s="29" t="s">
        <v>831</v>
      </c>
      <c r="B294" s="15"/>
      <c r="C294" s="16" t="e">
        <f>IF([2]!Artículos4[[#This Row],[Proveedor (código)]]="","",VLOOKUP([2]!Artículos4[[#This Row],[Proveedor (código)]],[2]Proveedores!A:B,2,FALSE))</f>
        <v>#REF!</v>
      </c>
      <c r="D294" s="29" t="s">
        <v>349</v>
      </c>
      <c r="E294" s="29" t="s">
        <v>334</v>
      </c>
      <c r="F294" s="51"/>
      <c r="G294" s="14"/>
      <c r="H294" s="14"/>
      <c r="I294" s="14"/>
      <c r="J294" s="16">
        <f>SUMIFS(Entradas!G:G,Entradas!E:E,Artículos[[#This Row],[Código]])</f>
        <v>0</v>
      </c>
      <c r="K294" s="16">
        <f>SUMIFS(Salidas!G:G,Salidas!E:E,Artículos[[#This Row],[Código]])</f>
        <v>0</v>
      </c>
      <c r="L294" s="16">
        <f>Artículos[[#This Row],[Existencias iniciales]]+Artículos[[#This Row],[Entradas]]-Artículos[[#This Row],[Salidas]]</f>
        <v>0</v>
      </c>
      <c r="M294" s="16"/>
      <c r="N294" s="16"/>
    </row>
    <row r="295" spans="1:14" hidden="1" x14ac:dyDescent="0.3">
      <c r="A295" s="29" t="s">
        <v>832</v>
      </c>
      <c r="B295" s="15"/>
      <c r="C295" s="16" t="e">
        <f>IF([2]!Artículos4[[#This Row],[Proveedor (código)]]="","",VLOOKUP([2]!Artículos4[[#This Row],[Proveedor (código)]],[2]Proveedores!A:B,2,FALSE))</f>
        <v>#REF!</v>
      </c>
      <c r="D295" s="29" t="s">
        <v>350</v>
      </c>
      <c r="E295" s="29" t="s">
        <v>334</v>
      </c>
      <c r="F295" s="51"/>
      <c r="G295" s="14"/>
      <c r="H295" s="14"/>
      <c r="I295" s="14"/>
      <c r="J295" s="16">
        <f>SUMIFS(Entradas!G:G,Entradas!E:E,Artículos[[#This Row],[Código]])</f>
        <v>0</v>
      </c>
      <c r="K295" s="16">
        <f>SUMIFS(Salidas!G:G,Salidas!E:E,Artículos[[#This Row],[Código]])</f>
        <v>0</v>
      </c>
      <c r="L295" s="16">
        <f>Artículos[[#This Row],[Existencias iniciales]]+Artículos[[#This Row],[Entradas]]-Artículos[[#This Row],[Salidas]]</f>
        <v>0</v>
      </c>
      <c r="M295" s="16"/>
      <c r="N295" s="16"/>
    </row>
    <row r="296" spans="1:14" hidden="1" x14ac:dyDescent="0.3">
      <c r="A296" s="29" t="s">
        <v>833</v>
      </c>
      <c r="B296" s="15"/>
      <c r="C296" s="16" t="e">
        <f>IF([2]!Artículos4[[#This Row],[Proveedor (código)]]="","",VLOOKUP([2]!Artículos4[[#This Row],[Proveedor (código)]],[2]Proveedores!A:B,2,FALSE))</f>
        <v>#REF!</v>
      </c>
      <c r="D296" s="29" t="s">
        <v>351</v>
      </c>
      <c r="E296" s="29" t="s">
        <v>334</v>
      </c>
      <c r="F296" s="51"/>
      <c r="G296" s="14"/>
      <c r="H296" s="14"/>
      <c r="I296" s="14"/>
      <c r="J296" s="16">
        <f>SUMIFS(Entradas!G:G,Entradas!E:E,Artículos[[#This Row],[Código]])</f>
        <v>0</v>
      </c>
      <c r="K296" s="16">
        <f>SUMIFS(Salidas!G:G,Salidas!E:E,Artículos[[#This Row],[Código]])</f>
        <v>0</v>
      </c>
      <c r="L296" s="16">
        <f>Artículos[[#This Row],[Existencias iniciales]]+Artículos[[#This Row],[Entradas]]-Artículos[[#This Row],[Salidas]]</f>
        <v>0</v>
      </c>
      <c r="M296" s="16"/>
      <c r="N296" s="16"/>
    </row>
    <row r="297" spans="1:14" hidden="1" x14ac:dyDescent="0.3">
      <c r="A297" s="29" t="s">
        <v>834</v>
      </c>
      <c r="B297" s="15"/>
      <c r="C297" s="16" t="e">
        <f>IF([2]!Artículos4[[#This Row],[Proveedor (código)]]="","",VLOOKUP([2]!Artículos4[[#This Row],[Proveedor (código)]],[2]Proveedores!A:B,2,FALSE))</f>
        <v>#REF!</v>
      </c>
      <c r="D297" s="29" t="s">
        <v>352</v>
      </c>
      <c r="E297" s="29" t="s">
        <v>334</v>
      </c>
      <c r="F297" s="51"/>
      <c r="G297" s="14"/>
      <c r="H297" s="14"/>
      <c r="I297" s="14">
        <v>36</v>
      </c>
      <c r="J297" s="16">
        <f>SUMIFS(Entradas!G:G,Entradas!E:E,Artículos[[#This Row],[Código]])</f>
        <v>0</v>
      </c>
      <c r="K297" s="16">
        <f>SUMIFS(Salidas!G:G,Salidas!E:E,Artículos[[#This Row],[Código]])</f>
        <v>0</v>
      </c>
      <c r="L297" s="16">
        <f>Artículos[[#This Row],[Existencias iniciales]]+Artículos[[#This Row],[Entradas]]-Artículos[[#This Row],[Salidas]]</f>
        <v>36</v>
      </c>
      <c r="M297" s="16"/>
      <c r="N297" s="16"/>
    </row>
    <row r="298" spans="1:14" hidden="1" x14ac:dyDescent="0.3">
      <c r="A298" s="29" t="s">
        <v>835</v>
      </c>
      <c r="B298" s="15"/>
      <c r="C298" s="16" t="e">
        <f>IF([2]!Artículos4[[#This Row],[Proveedor (código)]]="","",VLOOKUP([2]!Artículos4[[#This Row],[Proveedor (código)]],[2]Proveedores!A:B,2,FALSE))</f>
        <v>#REF!</v>
      </c>
      <c r="D298" s="29" t="s">
        <v>353</v>
      </c>
      <c r="E298" s="29" t="s">
        <v>334</v>
      </c>
      <c r="F298" s="51"/>
      <c r="G298" s="14"/>
      <c r="H298" s="14"/>
      <c r="I298" s="14">
        <v>40</v>
      </c>
      <c r="J298" s="16">
        <f>SUMIFS(Entradas!G:G,Entradas!E:E,Artículos[[#This Row],[Código]])</f>
        <v>0</v>
      </c>
      <c r="K298" s="16">
        <f>SUMIFS(Salidas!G:G,Salidas!E:E,Artículos[[#This Row],[Código]])</f>
        <v>0</v>
      </c>
      <c r="L298" s="16">
        <f>Artículos[[#This Row],[Existencias iniciales]]+Artículos[[#This Row],[Entradas]]-Artículos[[#This Row],[Salidas]]</f>
        <v>40</v>
      </c>
      <c r="M298" s="16"/>
      <c r="N298" s="16"/>
    </row>
    <row r="299" spans="1:14" hidden="1" x14ac:dyDescent="0.3">
      <c r="A299" s="29" t="s">
        <v>836</v>
      </c>
      <c r="B299" s="15"/>
      <c r="C299" s="16" t="e">
        <f>IF([2]!Artículos4[[#This Row],[Proveedor (código)]]="","",VLOOKUP([2]!Artículos4[[#This Row],[Proveedor (código)]],[2]Proveedores!A:B,2,FALSE))</f>
        <v>#REF!</v>
      </c>
      <c r="D299" s="29" t="s">
        <v>354</v>
      </c>
      <c r="E299" s="29" t="s">
        <v>334</v>
      </c>
      <c r="F299" s="51"/>
      <c r="G299" s="14"/>
      <c r="H299" s="14"/>
      <c r="I299" s="14">
        <v>14</v>
      </c>
      <c r="J299" s="16">
        <f>SUMIFS(Entradas!G:G,Entradas!E:E,Artículos[[#This Row],[Código]])</f>
        <v>0</v>
      </c>
      <c r="K299" s="16">
        <f>SUMIFS(Salidas!G:G,Salidas!E:E,Artículos[[#This Row],[Código]])</f>
        <v>0</v>
      </c>
      <c r="L299" s="16">
        <f>Artículos[[#This Row],[Existencias iniciales]]+Artículos[[#This Row],[Entradas]]-Artículos[[#This Row],[Salidas]]</f>
        <v>14</v>
      </c>
      <c r="M299" s="16"/>
      <c r="N299" s="16"/>
    </row>
    <row r="300" spans="1:14" hidden="1" x14ac:dyDescent="0.3">
      <c r="A300" s="29" t="s">
        <v>837</v>
      </c>
      <c r="B300" s="15"/>
      <c r="C300" s="16" t="e">
        <f>IF([2]!Artículos4[[#This Row],[Proveedor (código)]]="","",VLOOKUP([2]!Artículos4[[#This Row],[Proveedor (código)]],[2]Proveedores!A:B,2,FALSE))</f>
        <v>#REF!</v>
      </c>
      <c r="D300" s="29" t="s">
        <v>355</v>
      </c>
      <c r="E300" s="29" t="s">
        <v>334</v>
      </c>
      <c r="F300" s="51"/>
      <c r="G300" s="14"/>
      <c r="H300" s="14"/>
      <c r="I300" s="14"/>
      <c r="J300" s="16">
        <f>SUMIFS(Entradas!G:G,Entradas!E:E,Artículos[[#This Row],[Código]])</f>
        <v>0</v>
      </c>
      <c r="K300" s="16">
        <f>SUMIFS(Salidas!G:G,Salidas!E:E,Artículos[[#This Row],[Código]])</f>
        <v>0</v>
      </c>
      <c r="L300" s="16">
        <f>Artículos[[#This Row],[Existencias iniciales]]+Artículos[[#This Row],[Entradas]]-Artículos[[#This Row],[Salidas]]</f>
        <v>0</v>
      </c>
      <c r="M300" s="16"/>
      <c r="N300" s="16"/>
    </row>
    <row r="301" spans="1:14" hidden="1" x14ac:dyDescent="0.3">
      <c r="A301" s="29" t="s">
        <v>838</v>
      </c>
      <c r="B301" s="15"/>
      <c r="C301" s="16" t="e">
        <f>IF([2]!Artículos4[[#This Row],[Proveedor (código)]]="","",VLOOKUP([2]!Artículos4[[#This Row],[Proveedor (código)]],[2]Proveedores!A:B,2,FALSE))</f>
        <v>#REF!</v>
      </c>
      <c r="D301" s="29" t="s">
        <v>356</v>
      </c>
      <c r="E301" s="29" t="s">
        <v>334</v>
      </c>
      <c r="F301" s="51"/>
      <c r="G301" s="14"/>
      <c r="H301" s="14"/>
      <c r="I301" s="14">
        <v>4</v>
      </c>
      <c r="J301" s="16">
        <f>SUMIFS(Entradas!G:G,Entradas!E:E,Artículos[[#This Row],[Código]])</f>
        <v>0</v>
      </c>
      <c r="K301" s="16">
        <f>SUMIFS(Salidas!G:G,Salidas!E:E,Artículos[[#This Row],[Código]])</f>
        <v>0</v>
      </c>
      <c r="L301" s="16">
        <f>Artículos[[#This Row],[Existencias iniciales]]+Artículos[[#This Row],[Entradas]]-Artículos[[#This Row],[Salidas]]</f>
        <v>4</v>
      </c>
      <c r="M301" s="16"/>
      <c r="N301" s="16"/>
    </row>
    <row r="302" spans="1:14" hidden="1" x14ac:dyDescent="0.3">
      <c r="A302" s="29" t="s">
        <v>839</v>
      </c>
      <c r="B302" s="15"/>
      <c r="C302" s="16" t="e">
        <f>IF([2]!Artículos4[[#This Row],[Proveedor (código)]]="","",VLOOKUP([2]!Artículos4[[#This Row],[Proveedor (código)]],[2]Proveedores!A:B,2,FALSE))</f>
        <v>#REF!</v>
      </c>
      <c r="D302" s="29" t="s">
        <v>357</v>
      </c>
      <c r="E302" s="29" t="s">
        <v>334</v>
      </c>
      <c r="F302" s="51"/>
      <c r="G302" s="14"/>
      <c r="H302" s="14"/>
      <c r="I302" s="14">
        <v>11</v>
      </c>
      <c r="J302" s="16">
        <f>SUMIFS(Entradas!G:G,Entradas!E:E,Artículos[[#This Row],[Código]])</f>
        <v>0</v>
      </c>
      <c r="K302" s="16">
        <f>SUMIFS(Salidas!G:G,Salidas!E:E,Artículos[[#This Row],[Código]])</f>
        <v>0</v>
      </c>
      <c r="L302" s="16">
        <f>Artículos[[#This Row],[Existencias iniciales]]+Artículos[[#This Row],[Entradas]]-Artículos[[#This Row],[Salidas]]</f>
        <v>11</v>
      </c>
      <c r="M302" s="16"/>
      <c r="N302" s="16"/>
    </row>
    <row r="303" spans="1:14" hidden="1" x14ac:dyDescent="0.3">
      <c r="A303" s="29" t="s">
        <v>840</v>
      </c>
      <c r="B303" s="15"/>
      <c r="C303" s="16" t="e">
        <f>IF([2]!Artículos4[[#This Row],[Proveedor (código)]]="","",VLOOKUP([2]!Artículos4[[#This Row],[Proveedor (código)]],[2]Proveedores!A:B,2,FALSE))</f>
        <v>#REF!</v>
      </c>
      <c r="D303" s="29" t="s">
        <v>358</v>
      </c>
      <c r="E303" s="29" t="s">
        <v>334</v>
      </c>
      <c r="F303" s="51"/>
      <c r="G303" s="14"/>
      <c r="H303" s="14"/>
      <c r="I303" s="14"/>
      <c r="J303" s="16">
        <f>SUMIFS(Entradas!G:G,Entradas!E:E,Artículos[[#This Row],[Código]])</f>
        <v>0</v>
      </c>
      <c r="K303" s="16">
        <f>SUMIFS(Salidas!G:G,Salidas!E:E,Artículos[[#This Row],[Código]])</f>
        <v>0</v>
      </c>
      <c r="L303" s="16">
        <f>Artículos[[#This Row],[Existencias iniciales]]+Artículos[[#This Row],[Entradas]]-Artículos[[#This Row],[Salidas]]</f>
        <v>0</v>
      </c>
      <c r="M303" s="16"/>
      <c r="N303" s="16"/>
    </row>
    <row r="304" spans="1:14" hidden="1" x14ac:dyDescent="0.3">
      <c r="A304" s="29" t="s">
        <v>841</v>
      </c>
      <c r="B304" s="15"/>
      <c r="C304" s="16" t="e">
        <f>IF([2]!Artículos4[[#This Row],[Proveedor (código)]]="","",VLOOKUP([2]!Artículos4[[#This Row],[Proveedor (código)]],[2]Proveedores!A:B,2,FALSE))</f>
        <v>#REF!</v>
      </c>
      <c r="D304" s="29" t="s">
        <v>359</v>
      </c>
      <c r="E304" s="29" t="s">
        <v>334</v>
      </c>
      <c r="F304" s="51"/>
      <c r="G304" s="14"/>
      <c r="H304" s="14"/>
      <c r="I304" s="14"/>
      <c r="J304" s="16">
        <f>SUMIFS(Entradas!G:G,Entradas!E:E,Artículos[[#This Row],[Código]])</f>
        <v>0</v>
      </c>
      <c r="K304" s="16">
        <f>SUMIFS(Salidas!G:G,Salidas!E:E,Artículos[[#This Row],[Código]])</f>
        <v>0</v>
      </c>
      <c r="L304" s="16">
        <f>Artículos[[#This Row],[Existencias iniciales]]+Artículos[[#This Row],[Entradas]]-Artículos[[#This Row],[Salidas]]</f>
        <v>0</v>
      </c>
      <c r="M304" s="16"/>
      <c r="N304" s="16"/>
    </row>
    <row r="305" spans="1:14" hidden="1" x14ac:dyDescent="0.3">
      <c r="A305" s="29" t="s">
        <v>842</v>
      </c>
      <c r="B305" s="15"/>
      <c r="C305" s="16" t="e">
        <f>IF([2]!Artículos4[[#This Row],[Proveedor (código)]]="","",VLOOKUP([2]!Artículos4[[#This Row],[Proveedor (código)]],[2]Proveedores!A:B,2,FALSE))</f>
        <v>#REF!</v>
      </c>
      <c r="D305" s="29" t="s">
        <v>360</v>
      </c>
      <c r="E305" s="29" t="s">
        <v>334</v>
      </c>
      <c r="F305" s="51"/>
      <c r="G305" s="14"/>
      <c r="H305" s="14"/>
      <c r="I305" s="14"/>
      <c r="J305" s="16">
        <f>SUMIFS(Entradas!G:G,Entradas!E:E,Artículos[[#This Row],[Código]])</f>
        <v>0</v>
      </c>
      <c r="K305" s="16">
        <f>SUMIFS(Salidas!G:G,Salidas!E:E,Artículos[[#This Row],[Código]])</f>
        <v>0</v>
      </c>
      <c r="L305" s="16">
        <f>Artículos[[#This Row],[Existencias iniciales]]+Artículos[[#This Row],[Entradas]]-Artículos[[#This Row],[Salidas]]</f>
        <v>0</v>
      </c>
      <c r="M305" s="16"/>
      <c r="N305" s="16"/>
    </row>
    <row r="306" spans="1:14" hidden="1" x14ac:dyDescent="0.3">
      <c r="A306" s="29" t="s">
        <v>843</v>
      </c>
      <c r="B306" s="15"/>
      <c r="C306" s="16" t="e">
        <f>IF([2]!Artículos4[[#This Row],[Proveedor (código)]]="","",VLOOKUP([2]!Artículos4[[#This Row],[Proveedor (código)]],[2]Proveedores!A:B,2,FALSE))</f>
        <v>#REF!</v>
      </c>
      <c r="D306" s="29" t="s">
        <v>361</v>
      </c>
      <c r="E306" s="29" t="s">
        <v>334</v>
      </c>
      <c r="F306" s="51"/>
      <c r="G306" s="14"/>
      <c r="H306" s="14"/>
      <c r="I306" s="14"/>
      <c r="J306" s="16">
        <f>SUMIFS(Entradas!G:G,Entradas!E:E,Artículos[[#This Row],[Código]])</f>
        <v>0</v>
      </c>
      <c r="K306" s="16">
        <f>SUMIFS(Salidas!G:G,Salidas!E:E,Artículos[[#This Row],[Código]])</f>
        <v>0</v>
      </c>
      <c r="L306" s="16">
        <f>Artículos[[#This Row],[Existencias iniciales]]+Artículos[[#This Row],[Entradas]]-Artículos[[#This Row],[Salidas]]</f>
        <v>0</v>
      </c>
      <c r="M306" s="16"/>
      <c r="N306" s="16"/>
    </row>
    <row r="307" spans="1:14" hidden="1" x14ac:dyDescent="0.3">
      <c r="A307" s="29" t="s">
        <v>844</v>
      </c>
      <c r="B307" s="15"/>
      <c r="C307" s="16" t="e">
        <f>IF([2]!Artículos4[[#This Row],[Proveedor (código)]]="","",VLOOKUP([2]!Artículos4[[#This Row],[Proveedor (código)]],[2]Proveedores!A:B,2,FALSE))</f>
        <v>#REF!</v>
      </c>
      <c r="D307" s="29" t="s">
        <v>46</v>
      </c>
      <c r="E307" s="29" t="s">
        <v>334</v>
      </c>
      <c r="F307" s="51"/>
      <c r="G307" s="14"/>
      <c r="H307" s="14"/>
      <c r="I307" s="14"/>
      <c r="J307" s="16">
        <f>SUMIFS(Entradas!G:G,Entradas!E:E,Artículos[[#This Row],[Código]])</f>
        <v>0</v>
      </c>
      <c r="K307" s="16">
        <f>SUMIFS(Salidas!G:G,Salidas!E:E,Artículos[[#This Row],[Código]])</f>
        <v>0</v>
      </c>
      <c r="L307" s="16">
        <f>Artículos[[#This Row],[Existencias iniciales]]+Artículos[[#This Row],[Entradas]]-Artículos[[#This Row],[Salidas]]</f>
        <v>0</v>
      </c>
      <c r="M307" s="16"/>
      <c r="N307" s="16"/>
    </row>
    <row r="308" spans="1:14" hidden="1" x14ac:dyDescent="0.3">
      <c r="A308" s="29" t="s">
        <v>845</v>
      </c>
      <c r="B308" s="15"/>
      <c r="C308" s="16" t="e">
        <f>IF([2]!Artículos4[[#This Row],[Proveedor (código)]]="","",VLOOKUP([2]!Artículos4[[#This Row],[Proveedor (código)]],[2]Proveedores!A:B,2,FALSE))</f>
        <v>#REF!</v>
      </c>
      <c r="D308" s="29" t="s">
        <v>362</v>
      </c>
      <c r="E308" s="29" t="s">
        <v>334</v>
      </c>
      <c r="F308" s="51"/>
      <c r="G308" s="14"/>
      <c r="H308" s="14"/>
      <c r="I308" s="14">
        <v>7</v>
      </c>
      <c r="J308" s="16">
        <f>SUMIFS(Entradas!G:G,Entradas!E:E,Artículos[[#This Row],[Código]])</f>
        <v>0</v>
      </c>
      <c r="K308" s="16">
        <f>SUMIFS(Salidas!G:G,Salidas!E:E,Artículos[[#This Row],[Código]])</f>
        <v>0</v>
      </c>
      <c r="L308" s="16">
        <f>Artículos[[#This Row],[Existencias iniciales]]+Artículos[[#This Row],[Entradas]]-Artículos[[#This Row],[Salidas]]</f>
        <v>7</v>
      </c>
      <c r="M308" s="16"/>
      <c r="N308" s="16"/>
    </row>
    <row r="309" spans="1:14" hidden="1" x14ac:dyDescent="0.3">
      <c r="A309" s="29" t="s">
        <v>846</v>
      </c>
      <c r="B309" s="15"/>
      <c r="C309" s="16" t="e">
        <f>IF([2]!Artículos4[[#This Row],[Proveedor (código)]]="","",VLOOKUP([2]!Artículos4[[#This Row],[Proveedor (código)]],[2]Proveedores!A:B,2,FALSE))</f>
        <v>#REF!</v>
      </c>
      <c r="D309" s="29" t="s">
        <v>363</v>
      </c>
      <c r="E309" s="29" t="s">
        <v>334</v>
      </c>
      <c r="F309" s="51"/>
      <c r="G309" s="14"/>
      <c r="H309" s="14"/>
      <c r="I309" s="14">
        <v>100</v>
      </c>
      <c r="J309" s="16">
        <f>SUMIFS(Entradas!G:G,Entradas!E:E,Artículos[[#This Row],[Código]])</f>
        <v>0</v>
      </c>
      <c r="K309" s="16">
        <f>SUMIFS(Salidas!G:G,Salidas!E:E,Artículos[[#This Row],[Código]])</f>
        <v>1</v>
      </c>
      <c r="L309" s="16">
        <f>Artículos[[#This Row],[Existencias iniciales]]+Artículos[[#This Row],[Entradas]]-Artículos[[#This Row],[Salidas]]</f>
        <v>99</v>
      </c>
      <c r="M309" s="16"/>
      <c r="N309" s="16"/>
    </row>
    <row r="310" spans="1:14" hidden="1" x14ac:dyDescent="0.3">
      <c r="A310" s="29" t="s">
        <v>847</v>
      </c>
      <c r="B310" s="15"/>
      <c r="C310" s="16" t="e">
        <f>IF([2]!Artículos4[[#This Row],[Proveedor (código)]]="","",VLOOKUP([2]!Artículos4[[#This Row],[Proveedor (código)]],[2]Proveedores!A:B,2,FALSE))</f>
        <v>#REF!</v>
      </c>
      <c r="D310" s="29" t="s">
        <v>364</v>
      </c>
      <c r="E310" s="29" t="s">
        <v>334</v>
      </c>
      <c r="F310" s="51"/>
      <c r="G310" s="14"/>
      <c r="H310" s="14"/>
      <c r="I310" s="14"/>
      <c r="J310" s="16">
        <f>SUMIFS(Entradas!G:G,Entradas!E:E,Artículos[[#This Row],[Código]])</f>
        <v>0</v>
      </c>
      <c r="K310" s="16">
        <f>SUMIFS(Salidas!G:G,Salidas!E:E,Artículos[[#This Row],[Código]])</f>
        <v>38</v>
      </c>
      <c r="L310" s="37">
        <f>Artículos[[#This Row],[Existencias iniciales]]+Artículos[[#This Row],[Entradas]]-Artículos[[#This Row],[Salidas]]</f>
        <v>-38</v>
      </c>
      <c r="M310" s="16"/>
      <c r="N310" s="16"/>
    </row>
    <row r="311" spans="1:14" hidden="1" x14ac:dyDescent="0.3">
      <c r="A311" s="29" t="s">
        <v>848</v>
      </c>
      <c r="B311" s="15"/>
      <c r="C311" s="16" t="e">
        <f>IF([2]!Artículos4[[#This Row],[Proveedor (código)]]="","",VLOOKUP([2]!Artículos4[[#This Row],[Proveedor (código)]],[2]Proveedores!A:B,2,FALSE))</f>
        <v>#REF!</v>
      </c>
      <c r="D311" s="29" t="s">
        <v>365</v>
      </c>
      <c r="E311" s="29" t="s">
        <v>334</v>
      </c>
      <c r="F311" s="51"/>
      <c r="G311" s="14"/>
      <c r="H311" s="14"/>
      <c r="I311" s="14">
        <v>6</v>
      </c>
      <c r="J311" s="16">
        <f>SUMIFS(Entradas!G:G,Entradas!E:E,Artículos[[#This Row],[Código]])</f>
        <v>0</v>
      </c>
      <c r="K311" s="16">
        <f>SUMIFS(Salidas!G:G,Salidas!E:E,Artículos[[#This Row],[Código]])</f>
        <v>0</v>
      </c>
      <c r="L311" s="16">
        <f>Artículos[[#This Row],[Existencias iniciales]]+Artículos[[#This Row],[Entradas]]-Artículos[[#This Row],[Salidas]]</f>
        <v>6</v>
      </c>
      <c r="M311" s="16"/>
      <c r="N311" s="16"/>
    </row>
    <row r="312" spans="1:14" hidden="1" x14ac:dyDescent="0.3">
      <c r="A312" s="29" t="s">
        <v>849</v>
      </c>
      <c r="B312" s="15"/>
      <c r="C312" s="16" t="e">
        <f>IF([2]!Artículos4[[#This Row],[Proveedor (código)]]="","",VLOOKUP([2]!Artículos4[[#This Row],[Proveedor (código)]],[2]Proveedores!A:B,2,FALSE))</f>
        <v>#REF!</v>
      </c>
      <c r="D312" s="29" t="s">
        <v>366</v>
      </c>
      <c r="E312" s="29" t="s">
        <v>334</v>
      </c>
      <c r="F312" s="51"/>
      <c r="G312" s="14"/>
      <c r="H312" s="14"/>
      <c r="I312" s="14">
        <v>9</v>
      </c>
      <c r="J312" s="16">
        <f>SUMIFS(Entradas!G:G,Entradas!E:E,Artículos[[#This Row],[Código]])</f>
        <v>0</v>
      </c>
      <c r="K312" s="16">
        <f>SUMIFS(Salidas!G:G,Salidas!E:E,Artículos[[#This Row],[Código]])</f>
        <v>0</v>
      </c>
      <c r="L312" s="16">
        <f>Artículos[[#This Row],[Existencias iniciales]]+Artículos[[#This Row],[Entradas]]-Artículos[[#This Row],[Salidas]]</f>
        <v>9</v>
      </c>
      <c r="M312" s="16"/>
      <c r="N312" s="16"/>
    </row>
    <row r="313" spans="1:14" hidden="1" x14ac:dyDescent="0.3">
      <c r="A313" s="29" t="s">
        <v>850</v>
      </c>
      <c r="B313" s="15"/>
      <c r="C313" s="16" t="e">
        <f>IF([2]!Artículos4[[#This Row],[Proveedor (código)]]="","",VLOOKUP([2]!Artículos4[[#This Row],[Proveedor (código)]],[2]Proveedores!A:B,2,FALSE))</f>
        <v>#REF!</v>
      </c>
      <c r="D313" s="29" t="s">
        <v>367</v>
      </c>
      <c r="E313" s="29" t="s">
        <v>334</v>
      </c>
      <c r="F313" s="51"/>
      <c r="G313" s="14"/>
      <c r="H313" s="14"/>
      <c r="I313" s="14"/>
      <c r="J313" s="16">
        <f>SUMIFS(Entradas!G:G,Entradas!E:E,Artículos[[#This Row],[Código]])</f>
        <v>0</v>
      </c>
      <c r="K313" s="16">
        <f>SUMIFS(Salidas!G:G,Salidas!E:E,Artículos[[#This Row],[Código]])</f>
        <v>0</v>
      </c>
      <c r="L313" s="16">
        <f>Artículos[[#This Row],[Existencias iniciales]]+Artículos[[#This Row],[Entradas]]-Artículos[[#This Row],[Salidas]]</f>
        <v>0</v>
      </c>
      <c r="M313" s="16"/>
      <c r="N313" s="16"/>
    </row>
    <row r="314" spans="1:14" hidden="1" x14ac:dyDescent="0.3">
      <c r="A314" s="29" t="s">
        <v>851</v>
      </c>
      <c r="B314" s="15"/>
      <c r="C314" s="16" t="e">
        <f>IF([2]!Artículos4[[#This Row],[Proveedor (código)]]="","",VLOOKUP([2]!Artículos4[[#This Row],[Proveedor (código)]],[2]Proveedores!A:B,2,FALSE))</f>
        <v>#REF!</v>
      </c>
      <c r="D314" s="29" t="s">
        <v>368</v>
      </c>
      <c r="E314" s="29" t="s">
        <v>334</v>
      </c>
      <c r="F314" s="51"/>
      <c r="G314" s="14"/>
      <c r="H314" s="14"/>
      <c r="I314" s="14"/>
      <c r="J314" s="16">
        <f>SUMIFS(Entradas!G:G,Entradas!E:E,Artículos[[#This Row],[Código]])</f>
        <v>0</v>
      </c>
      <c r="K314" s="16">
        <f>SUMIFS(Salidas!G:G,Salidas!E:E,Artículos[[#This Row],[Código]])</f>
        <v>0</v>
      </c>
      <c r="L314" s="16">
        <f>Artículos[[#This Row],[Existencias iniciales]]+Artículos[[#This Row],[Entradas]]-Artículos[[#This Row],[Salidas]]</f>
        <v>0</v>
      </c>
      <c r="M314" s="16"/>
      <c r="N314" s="16"/>
    </row>
    <row r="315" spans="1:14" hidden="1" x14ac:dyDescent="0.3">
      <c r="A315" s="29" t="s">
        <v>852</v>
      </c>
      <c r="B315" s="15"/>
      <c r="C315" s="16" t="e">
        <f>IF([2]!Artículos4[[#This Row],[Proveedor (código)]]="","",VLOOKUP([2]!Artículos4[[#This Row],[Proveedor (código)]],[2]Proveedores!A:B,2,FALSE))</f>
        <v>#REF!</v>
      </c>
      <c r="D315" s="29" t="s">
        <v>369</v>
      </c>
      <c r="E315" s="29" t="s">
        <v>334</v>
      </c>
      <c r="F315" s="51"/>
      <c r="G315" s="14"/>
      <c r="H315" s="14"/>
      <c r="I315" s="14"/>
      <c r="J315" s="16">
        <f>SUMIFS(Entradas!G:G,Entradas!E:E,Artículos[[#This Row],[Código]])</f>
        <v>0</v>
      </c>
      <c r="K315" s="16">
        <f>SUMIFS(Salidas!G:G,Salidas!E:E,Artículos[[#This Row],[Código]])</f>
        <v>0</v>
      </c>
      <c r="L315" s="16">
        <f>Artículos[[#This Row],[Existencias iniciales]]+Artículos[[#This Row],[Entradas]]-Artículos[[#This Row],[Salidas]]</f>
        <v>0</v>
      </c>
      <c r="M315" s="16"/>
      <c r="N315" s="16"/>
    </row>
    <row r="316" spans="1:14" hidden="1" x14ac:dyDescent="0.3">
      <c r="A316" s="29" t="s">
        <v>853</v>
      </c>
      <c r="B316" s="15"/>
      <c r="C316" s="16" t="e">
        <f>IF([2]!Artículos4[[#This Row],[Proveedor (código)]]="","",VLOOKUP([2]!Artículos4[[#This Row],[Proveedor (código)]],[2]Proveedores!A:B,2,FALSE))</f>
        <v>#REF!</v>
      </c>
      <c r="D316" s="29" t="s">
        <v>370</v>
      </c>
      <c r="E316" s="29" t="s">
        <v>334</v>
      </c>
      <c r="F316" s="51"/>
      <c r="G316" s="14"/>
      <c r="H316" s="14"/>
      <c r="I316" s="14"/>
      <c r="J316" s="16">
        <f>SUMIFS(Entradas!G:G,Entradas!E:E,Artículos[[#This Row],[Código]])</f>
        <v>0</v>
      </c>
      <c r="K316" s="16">
        <f>SUMIFS(Salidas!G:G,Salidas!E:E,Artículos[[#This Row],[Código]])</f>
        <v>0</v>
      </c>
      <c r="L316" s="16">
        <f>Artículos[[#This Row],[Existencias iniciales]]+Artículos[[#This Row],[Entradas]]-Artículos[[#This Row],[Salidas]]</f>
        <v>0</v>
      </c>
      <c r="M316" s="16"/>
      <c r="N316" s="16"/>
    </row>
    <row r="317" spans="1:14" ht="14.4" hidden="1" customHeight="1" x14ac:dyDescent="0.3">
      <c r="A317" s="29" t="s">
        <v>867</v>
      </c>
      <c r="B317" s="15">
        <v>1</v>
      </c>
      <c r="C317" s="16" t="e">
        <f>IF([2]!Artículos4[[#This Row],[Proveedor (código)]]="","",VLOOKUP([2]!Artículos4[[#This Row],[Proveedor (código)]],[2]Proveedores!A:B,2,FALSE))</f>
        <v>#REF!</v>
      </c>
      <c r="D317" s="29" t="s">
        <v>384</v>
      </c>
      <c r="E317" s="29" t="s">
        <v>334</v>
      </c>
      <c r="F317" s="51"/>
      <c r="G317" s="14"/>
      <c r="H317" s="14"/>
      <c r="I317" s="14"/>
      <c r="J317" s="16">
        <f>SUMIFS(Entradas!G:G,Entradas!E:E,Artículos[[#This Row],[Código]])</f>
        <v>0</v>
      </c>
      <c r="K317" s="16">
        <f>SUMIFS(Salidas!G:G,Salidas!E:E,Artículos[[#This Row],[Código]])</f>
        <v>0</v>
      </c>
      <c r="L317" s="16">
        <f>Artículos[[#This Row],[Existencias iniciales]]+Artículos[[#This Row],[Entradas]]-Artículos[[#This Row],[Salidas]]</f>
        <v>0</v>
      </c>
      <c r="M317" s="16"/>
      <c r="N317" s="16"/>
    </row>
    <row r="318" spans="1:14" ht="14.4" hidden="1" customHeight="1" x14ac:dyDescent="0.3">
      <c r="A318" s="29" t="s">
        <v>854</v>
      </c>
      <c r="B318" s="15"/>
      <c r="C318" s="16" t="e">
        <f>IF([2]!Artículos4[[#This Row],[Proveedor (código)]]="","",VLOOKUP([2]!Artículos4[[#This Row],[Proveedor (código)]],[2]Proveedores!A:B,2,FALSE))</f>
        <v>#REF!</v>
      </c>
      <c r="D318" s="29" t="s">
        <v>371</v>
      </c>
      <c r="E318" s="29" t="s">
        <v>334</v>
      </c>
      <c r="F318" s="51"/>
      <c r="G318" s="14"/>
      <c r="H318" s="14"/>
      <c r="I318" s="14"/>
      <c r="J318" s="16">
        <f>SUMIFS(Entradas!G:G,Entradas!E:E,Artículos[[#This Row],[Código]])</f>
        <v>0</v>
      </c>
      <c r="K318" s="16">
        <f>SUMIFS(Salidas!G:G,Salidas!E:E,Artículos[[#This Row],[Código]])</f>
        <v>0</v>
      </c>
      <c r="L318" s="16">
        <f>Artículos[[#This Row],[Existencias iniciales]]+Artículos[[#This Row],[Entradas]]-Artículos[[#This Row],[Salidas]]</f>
        <v>0</v>
      </c>
      <c r="M318" s="16"/>
      <c r="N318" s="16"/>
    </row>
    <row r="319" spans="1:14" ht="14.4" hidden="1" customHeight="1" x14ac:dyDescent="0.3">
      <c r="A319" s="29" t="s">
        <v>855</v>
      </c>
      <c r="B319" s="15"/>
      <c r="C319" s="16" t="e">
        <f>IF([2]!Artículos4[[#This Row],[Proveedor (código)]]="","",VLOOKUP([2]!Artículos4[[#This Row],[Proveedor (código)]],[2]Proveedores!A:B,2,FALSE))</f>
        <v>#REF!</v>
      </c>
      <c r="D319" s="29" t="s">
        <v>372</v>
      </c>
      <c r="E319" s="29" t="s">
        <v>334</v>
      </c>
      <c r="F319" s="51"/>
      <c r="G319" s="14"/>
      <c r="H319" s="14"/>
      <c r="I319" s="14"/>
      <c r="J319" s="16">
        <f>SUMIFS(Entradas!G:G,Entradas!E:E,Artículos[[#This Row],[Código]])</f>
        <v>0</v>
      </c>
      <c r="K319" s="16">
        <f>SUMIFS(Salidas!G:G,Salidas!E:E,Artículos[[#This Row],[Código]])</f>
        <v>0</v>
      </c>
      <c r="L319" s="16">
        <f>Artículos[[#This Row],[Existencias iniciales]]+Artículos[[#This Row],[Entradas]]-Artículos[[#This Row],[Salidas]]</f>
        <v>0</v>
      </c>
      <c r="M319" s="16"/>
      <c r="N319" s="16"/>
    </row>
    <row r="320" spans="1:14" ht="14.4" hidden="1" customHeight="1" x14ac:dyDescent="0.3">
      <c r="A320" s="29" t="s">
        <v>856</v>
      </c>
      <c r="B320" s="15"/>
      <c r="C320" s="16" t="e">
        <f>IF([2]!Artículos4[[#This Row],[Proveedor (código)]]="","",VLOOKUP([2]!Artículos4[[#This Row],[Proveedor (código)]],[2]Proveedores!A:B,2,FALSE))</f>
        <v>#REF!</v>
      </c>
      <c r="D320" s="29" t="s">
        <v>373</v>
      </c>
      <c r="E320" s="29" t="s">
        <v>334</v>
      </c>
      <c r="F320" s="51"/>
      <c r="G320" s="14"/>
      <c r="H320" s="14"/>
      <c r="I320" s="14"/>
      <c r="J320" s="16">
        <f>SUMIFS(Entradas!G:G,Entradas!E:E,Artículos[[#This Row],[Código]])</f>
        <v>0</v>
      </c>
      <c r="K320" s="16">
        <f>SUMIFS(Salidas!G:G,Salidas!E:E,Artículos[[#This Row],[Código]])</f>
        <v>0</v>
      </c>
      <c r="L320" s="16">
        <f>Artículos[[#This Row],[Existencias iniciales]]+Artículos[[#This Row],[Entradas]]-Artículos[[#This Row],[Salidas]]</f>
        <v>0</v>
      </c>
      <c r="M320" s="16"/>
      <c r="N320" s="16"/>
    </row>
    <row r="321" spans="1:14" ht="14.4" hidden="1" customHeight="1" x14ac:dyDescent="0.3">
      <c r="A321" s="29" t="s">
        <v>857</v>
      </c>
      <c r="B321" s="15"/>
      <c r="C321" s="16" t="e">
        <f>IF([2]!Artículos4[[#This Row],[Proveedor (código)]]="","",VLOOKUP([2]!Artículos4[[#This Row],[Proveedor (código)]],[2]Proveedores!A:B,2,FALSE))</f>
        <v>#REF!</v>
      </c>
      <c r="D321" s="29" t="s">
        <v>374</v>
      </c>
      <c r="E321" s="29" t="s">
        <v>334</v>
      </c>
      <c r="F321" s="51"/>
      <c r="G321" s="14"/>
      <c r="H321" s="14"/>
      <c r="I321" s="14"/>
      <c r="J321" s="16">
        <f>SUMIFS(Entradas!G:G,Entradas!E:E,Artículos[[#This Row],[Código]])</f>
        <v>0</v>
      </c>
      <c r="K321" s="16">
        <f>SUMIFS(Salidas!G:G,Salidas!E:E,Artículos[[#This Row],[Código]])</f>
        <v>0</v>
      </c>
      <c r="L321" s="16">
        <f>Artículos[[#This Row],[Existencias iniciales]]+Artículos[[#This Row],[Entradas]]-Artículos[[#This Row],[Salidas]]</f>
        <v>0</v>
      </c>
      <c r="M321" s="16"/>
      <c r="N321" s="16"/>
    </row>
    <row r="322" spans="1:14" ht="14.4" hidden="1" customHeight="1" x14ac:dyDescent="0.3">
      <c r="A322" s="29" t="s">
        <v>858</v>
      </c>
      <c r="B322" s="15"/>
      <c r="C322" s="16" t="e">
        <f>IF([2]!Artículos4[[#This Row],[Proveedor (código)]]="","",VLOOKUP([2]!Artículos4[[#This Row],[Proveedor (código)]],[2]Proveedores!A:B,2,FALSE))</f>
        <v>#REF!</v>
      </c>
      <c r="D322" s="29" t="s">
        <v>375</v>
      </c>
      <c r="E322" s="29" t="s">
        <v>334</v>
      </c>
      <c r="F322" s="51"/>
      <c r="G322" s="14"/>
      <c r="H322" s="14"/>
      <c r="I322" s="14"/>
      <c r="J322" s="16">
        <f>SUMIFS(Entradas!G:G,Entradas!E:E,Artículos[[#This Row],[Código]])</f>
        <v>0</v>
      </c>
      <c r="K322" s="16">
        <f>SUMIFS(Salidas!G:G,Salidas!E:E,Artículos[[#This Row],[Código]])</f>
        <v>0</v>
      </c>
      <c r="L322" s="16">
        <f>Artículos[[#This Row],[Existencias iniciales]]+Artículos[[#This Row],[Entradas]]-Artículos[[#This Row],[Salidas]]</f>
        <v>0</v>
      </c>
      <c r="M322" s="16"/>
      <c r="N322" s="16"/>
    </row>
    <row r="323" spans="1:14" ht="14.4" hidden="1" customHeight="1" x14ac:dyDescent="0.3">
      <c r="A323" s="29" t="s">
        <v>859</v>
      </c>
      <c r="B323" s="15"/>
      <c r="C323" s="16" t="e">
        <f>IF([2]!Artículos4[[#This Row],[Proveedor (código)]]="","",VLOOKUP([2]!Artículos4[[#This Row],[Proveedor (código)]],[2]Proveedores!A:B,2,FALSE))</f>
        <v>#REF!</v>
      </c>
      <c r="D323" s="29" t="s">
        <v>376</v>
      </c>
      <c r="E323" s="29" t="s">
        <v>334</v>
      </c>
      <c r="F323" s="51"/>
      <c r="G323" s="14"/>
      <c r="H323" s="14"/>
      <c r="I323" s="14"/>
      <c r="J323" s="16">
        <f>SUMIFS(Entradas!G:G,Entradas!E:E,Artículos[[#This Row],[Código]])</f>
        <v>0</v>
      </c>
      <c r="K323" s="16">
        <f>SUMIFS(Salidas!G:G,Salidas!E:E,Artículos[[#This Row],[Código]])</f>
        <v>0</v>
      </c>
      <c r="L323" s="16">
        <f>Artículos[[#This Row],[Existencias iniciales]]+Artículos[[#This Row],[Entradas]]-Artículos[[#This Row],[Salidas]]</f>
        <v>0</v>
      </c>
      <c r="M323" s="16"/>
      <c r="N323" s="16"/>
    </row>
    <row r="324" spans="1:14" ht="14.4" hidden="1" customHeight="1" x14ac:dyDescent="0.3">
      <c r="A324" s="29" t="s">
        <v>860</v>
      </c>
      <c r="B324" s="15"/>
      <c r="C324" s="16" t="e">
        <f>IF([2]!Artículos4[[#This Row],[Proveedor (código)]]="","",VLOOKUP([2]!Artículos4[[#This Row],[Proveedor (código)]],[2]Proveedores!A:B,2,FALSE))</f>
        <v>#REF!</v>
      </c>
      <c r="D324" s="29" t="s">
        <v>377</v>
      </c>
      <c r="E324" s="29" t="s">
        <v>334</v>
      </c>
      <c r="F324" s="51"/>
      <c r="G324" s="14"/>
      <c r="H324" s="14"/>
      <c r="I324" s="14"/>
      <c r="J324" s="16">
        <f>SUMIFS(Entradas!G:G,Entradas!E:E,Artículos[[#This Row],[Código]])</f>
        <v>0</v>
      </c>
      <c r="K324" s="16">
        <f>SUMIFS(Salidas!G:G,Salidas!E:E,Artículos[[#This Row],[Código]])</f>
        <v>0</v>
      </c>
      <c r="L324" s="16">
        <f>Artículos[[#This Row],[Existencias iniciales]]+Artículos[[#This Row],[Entradas]]-Artículos[[#This Row],[Salidas]]</f>
        <v>0</v>
      </c>
      <c r="M324" s="16"/>
      <c r="N324" s="16"/>
    </row>
    <row r="325" spans="1:14" ht="14.4" hidden="1" customHeight="1" x14ac:dyDescent="0.3">
      <c r="A325" s="29" t="s">
        <v>861</v>
      </c>
      <c r="B325" s="15"/>
      <c r="C325" s="16" t="e">
        <f>IF([2]!Artículos4[[#This Row],[Proveedor (código)]]="","",VLOOKUP([2]!Artículos4[[#This Row],[Proveedor (código)]],[2]Proveedores!A:B,2,FALSE))</f>
        <v>#REF!</v>
      </c>
      <c r="D325" s="29" t="s">
        <v>378</v>
      </c>
      <c r="E325" s="29" t="s">
        <v>334</v>
      </c>
      <c r="F325" s="51"/>
      <c r="G325" s="14"/>
      <c r="H325" s="14"/>
      <c r="I325" s="14"/>
      <c r="J325" s="16">
        <f>SUMIFS(Entradas!G:G,Entradas!E:E,Artículos[[#This Row],[Código]])</f>
        <v>0</v>
      </c>
      <c r="K325" s="16">
        <f>SUMIFS(Salidas!G:G,Salidas!E:E,Artículos[[#This Row],[Código]])</f>
        <v>0</v>
      </c>
      <c r="L325" s="16">
        <f>Artículos[[#This Row],[Existencias iniciales]]+Artículos[[#This Row],[Entradas]]-Artículos[[#This Row],[Salidas]]</f>
        <v>0</v>
      </c>
      <c r="M325" s="16"/>
      <c r="N325" s="16"/>
    </row>
    <row r="326" spans="1:14" ht="14.4" hidden="1" customHeight="1" x14ac:dyDescent="0.3">
      <c r="A326" s="29" t="s">
        <v>862</v>
      </c>
      <c r="B326" s="15"/>
      <c r="C326" s="16" t="e">
        <f>IF([2]!Artículos4[[#This Row],[Proveedor (código)]]="","",VLOOKUP([2]!Artículos4[[#This Row],[Proveedor (código)]],[2]Proveedores!A:B,2,FALSE))</f>
        <v>#REF!</v>
      </c>
      <c r="D326" s="29" t="s">
        <v>379</v>
      </c>
      <c r="E326" s="29" t="s">
        <v>334</v>
      </c>
      <c r="F326" s="51"/>
      <c r="G326" s="14"/>
      <c r="H326" s="14"/>
      <c r="I326" s="14"/>
      <c r="J326" s="16">
        <f>SUMIFS(Entradas!G:G,Entradas!E:E,Artículos[[#This Row],[Código]])</f>
        <v>0</v>
      </c>
      <c r="K326" s="16">
        <f>SUMIFS(Salidas!G:G,Salidas!E:E,Artículos[[#This Row],[Código]])</f>
        <v>0</v>
      </c>
      <c r="L326" s="16">
        <f>Artículos[[#This Row],[Existencias iniciales]]+Artículos[[#This Row],[Entradas]]-Artículos[[#This Row],[Salidas]]</f>
        <v>0</v>
      </c>
      <c r="M326" s="16"/>
      <c r="N326" s="16"/>
    </row>
    <row r="327" spans="1:14" ht="14.4" hidden="1" customHeight="1" x14ac:dyDescent="0.3">
      <c r="A327" s="29" t="s">
        <v>863</v>
      </c>
      <c r="B327" s="15">
        <v>1</v>
      </c>
      <c r="C327" s="16" t="e">
        <f>IF([2]!Artículos4[[#This Row],[Proveedor (código)]]="","",VLOOKUP([2]!Artículos4[[#This Row],[Proveedor (código)]],[2]Proveedores!A:B,2,FALSE))</f>
        <v>#REF!</v>
      </c>
      <c r="D327" s="29" t="s">
        <v>380</v>
      </c>
      <c r="E327" s="29" t="s">
        <v>334</v>
      </c>
      <c r="F327" s="51"/>
      <c r="G327" s="14"/>
      <c r="H327" s="14"/>
      <c r="I327" s="14"/>
      <c r="J327" s="16">
        <f>SUMIFS(Entradas!G:G,Entradas!E:E,Artículos[[#This Row],[Código]])</f>
        <v>0</v>
      </c>
      <c r="K327" s="16">
        <f>SUMIFS(Salidas!G:G,Salidas!E:E,Artículos[[#This Row],[Código]])</f>
        <v>0</v>
      </c>
      <c r="L327" s="16">
        <f>Artículos[[#This Row],[Existencias iniciales]]+Artículos[[#This Row],[Entradas]]-Artículos[[#This Row],[Salidas]]</f>
        <v>0</v>
      </c>
      <c r="M327" s="16"/>
      <c r="N327" s="16"/>
    </row>
    <row r="328" spans="1:14" ht="14.4" hidden="1" customHeight="1" x14ac:dyDescent="0.3">
      <c r="A328" s="29" t="s">
        <v>864</v>
      </c>
      <c r="B328" s="15">
        <v>1</v>
      </c>
      <c r="C328" s="16" t="e">
        <f>IF([2]!Artículos4[[#This Row],[Proveedor (código)]]="","",VLOOKUP([2]!Artículos4[[#This Row],[Proveedor (código)]],[2]Proveedores!A:B,2,FALSE))</f>
        <v>#REF!</v>
      </c>
      <c r="D328" s="29" t="s">
        <v>381</v>
      </c>
      <c r="E328" s="29" t="s">
        <v>334</v>
      </c>
      <c r="F328" s="51"/>
      <c r="G328" s="14"/>
      <c r="H328" s="14"/>
      <c r="I328" s="14"/>
      <c r="J328" s="16">
        <f>SUMIFS(Entradas!G:G,Entradas!E:E,Artículos[[#This Row],[Código]])</f>
        <v>0</v>
      </c>
      <c r="K328" s="16">
        <f>SUMIFS(Salidas!G:G,Salidas!E:E,Artículos[[#This Row],[Código]])</f>
        <v>0</v>
      </c>
      <c r="L328" s="16">
        <f>Artículos[[#This Row],[Existencias iniciales]]+Artículos[[#This Row],[Entradas]]-Artículos[[#This Row],[Salidas]]</f>
        <v>0</v>
      </c>
      <c r="M328" s="16"/>
      <c r="N328" s="16"/>
    </row>
    <row r="329" spans="1:14" ht="14.4" hidden="1" customHeight="1" x14ac:dyDescent="0.3">
      <c r="A329" s="29" t="s">
        <v>865</v>
      </c>
      <c r="B329" s="15">
        <v>1</v>
      </c>
      <c r="C329" s="16" t="e">
        <f>IF([2]!Artículos4[[#This Row],[Proveedor (código)]]="","",VLOOKUP([2]!Artículos4[[#This Row],[Proveedor (código)]],[2]Proveedores!A:B,2,FALSE))</f>
        <v>#REF!</v>
      </c>
      <c r="D329" s="29" t="s">
        <v>382</v>
      </c>
      <c r="E329" s="29" t="s">
        <v>334</v>
      </c>
      <c r="F329" s="51"/>
      <c r="G329" s="14"/>
      <c r="H329" s="14"/>
      <c r="I329" s="14">
        <v>3</v>
      </c>
      <c r="J329" s="16">
        <f>SUMIFS(Entradas!G:G,Entradas!E:E,Artículos[[#This Row],[Código]])</f>
        <v>0</v>
      </c>
      <c r="K329" s="16">
        <f>SUMIFS(Salidas!G:G,Salidas!E:E,Artículos[[#This Row],[Código]])</f>
        <v>0</v>
      </c>
      <c r="L329" s="16">
        <f>Artículos[[#This Row],[Existencias iniciales]]+Artículos[[#This Row],[Entradas]]-Artículos[[#This Row],[Salidas]]</f>
        <v>3</v>
      </c>
      <c r="M329" s="16"/>
      <c r="N329" s="16"/>
    </row>
    <row r="330" spans="1:14" ht="14.4" hidden="1" customHeight="1" x14ac:dyDescent="0.3">
      <c r="A330" s="29" t="s">
        <v>866</v>
      </c>
      <c r="B330" s="15">
        <v>1</v>
      </c>
      <c r="C330" s="16" t="e">
        <f>IF([2]!Artículos4[[#This Row],[Proveedor (código)]]="","",VLOOKUP([2]!Artículos4[[#This Row],[Proveedor (código)]],[2]Proveedores!A:B,2,FALSE))</f>
        <v>#REF!</v>
      </c>
      <c r="D330" s="29" t="s">
        <v>383</v>
      </c>
      <c r="E330" s="29" t="s">
        <v>334</v>
      </c>
      <c r="F330" s="51"/>
      <c r="G330" s="14"/>
      <c r="H330" s="14"/>
      <c r="I330" s="14">
        <v>5</v>
      </c>
      <c r="J330" s="16">
        <f>SUMIFS(Entradas!G:G,Entradas!E:E,Artículos[[#This Row],[Código]])</f>
        <v>0</v>
      </c>
      <c r="K330" s="16">
        <f>SUMIFS(Salidas!G:G,Salidas!E:E,Artículos[[#This Row],[Código]])</f>
        <v>0</v>
      </c>
      <c r="L330" s="16">
        <f>Artículos[[#This Row],[Existencias iniciales]]+Artículos[[#This Row],[Entradas]]-Artículos[[#This Row],[Salidas]]</f>
        <v>5</v>
      </c>
      <c r="M330" s="16"/>
      <c r="N330" s="16"/>
    </row>
    <row r="331" spans="1:14" ht="14.4" hidden="1" customHeight="1" x14ac:dyDescent="0.3">
      <c r="A331" s="29" t="s">
        <v>868</v>
      </c>
      <c r="B331" s="15">
        <v>1</v>
      </c>
      <c r="C331" s="16" t="e">
        <f>IF([2]!Artículos4[[#This Row],[Proveedor (código)]]="","",VLOOKUP([2]!Artículos4[[#This Row],[Proveedor (código)]],[2]Proveedores!A:B,2,FALSE))</f>
        <v>#REF!</v>
      </c>
      <c r="D331" s="29" t="s">
        <v>385</v>
      </c>
      <c r="E331" s="29" t="s">
        <v>334</v>
      </c>
      <c r="F331" s="51"/>
      <c r="G331" s="14"/>
      <c r="H331" s="14"/>
      <c r="I331" s="14"/>
      <c r="J331" s="16">
        <f>SUMIFS(Entradas!G:G,Entradas!E:E,Artículos[[#This Row],[Código]])</f>
        <v>0</v>
      </c>
      <c r="K331" s="16">
        <f>SUMIFS(Salidas!G:G,Salidas!E:E,Artículos[[#This Row],[Código]])</f>
        <v>0</v>
      </c>
      <c r="L331" s="16">
        <f>Artículos[[#This Row],[Existencias iniciales]]+Artículos[[#This Row],[Entradas]]-Artículos[[#This Row],[Salidas]]</f>
        <v>0</v>
      </c>
      <c r="M331" s="16"/>
      <c r="N331" s="16"/>
    </row>
    <row r="332" spans="1:14" ht="14.4" hidden="1" customHeight="1" x14ac:dyDescent="0.3">
      <c r="A332" s="29" t="s">
        <v>869</v>
      </c>
      <c r="B332" s="15">
        <v>1</v>
      </c>
      <c r="C332" s="16" t="e">
        <f>IF([2]!Artículos4[[#This Row],[Proveedor (código)]]="","",VLOOKUP([2]!Artículos4[[#This Row],[Proveedor (código)]],[2]Proveedores!A:B,2,FALSE))</f>
        <v>#REF!</v>
      </c>
      <c r="D332" s="29" t="s">
        <v>386</v>
      </c>
      <c r="E332" s="29" t="s">
        <v>334</v>
      </c>
      <c r="F332" s="51"/>
      <c r="G332" s="14"/>
      <c r="H332" s="14"/>
      <c r="I332" s="14"/>
      <c r="J332" s="16">
        <f>SUMIFS(Entradas!G:G,Entradas!E:E,Artículos[[#This Row],[Código]])</f>
        <v>0</v>
      </c>
      <c r="K332" s="16">
        <f>SUMIFS(Salidas!G:G,Salidas!E:E,Artículos[[#This Row],[Código]])</f>
        <v>0</v>
      </c>
      <c r="L332" s="16">
        <f>Artículos[[#This Row],[Existencias iniciales]]+Artículos[[#This Row],[Entradas]]-Artículos[[#This Row],[Salidas]]</f>
        <v>0</v>
      </c>
      <c r="M332" s="16"/>
      <c r="N332" s="16"/>
    </row>
    <row r="333" spans="1:14" ht="14.4" hidden="1" customHeight="1" x14ac:dyDescent="0.3">
      <c r="A333" s="29" t="s">
        <v>870</v>
      </c>
      <c r="B333" s="15">
        <v>1</v>
      </c>
      <c r="C333" s="16" t="e">
        <f>IF([2]!Artículos4[[#This Row],[Proveedor (código)]]="","",VLOOKUP([2]!Artículos4[[#This Row],[Proveedor (código)]],[2]Proveedores!A:B,2,FALSE))</f>
        <v>#REF!</v>
      </c>
      <c r="D333" s="29" t="s">
        <v>387</v>
      </c>
      <c r="E333" s="29" t="s">
        <v>334</v>
      </c>
      <c r="F333" s="51"/>
      <c r="G333" s="14"/>
      <c r="H333" s="14"/>
      <c r="I333" s="14"/>
      <c r="J333" s="16">
        <f>SUMIFS(Entradas!G:G,Entradas!E:E,Artículos[[#This Row],[Código]])</f>
        <v>0</v>
      </c>
      <c r="K333" s="16">
        <f>SUMIFS(Salidas!G:G,Salidas!E:E,Artículos[[#This Row],[Código]])</f>
        <v>0</v>
      </c>
      <c r="L333" s="16">
        <f>Artículos[[#This Row],[Existencias iniciales]]+Artículos[[#This Row],[Entradas]]-Artículos[[#This Row],[Salidas]]</f>
        <v>0</v>
      </c>
      <c r="M333" s="16"/>
      <c r="N333" s="16"/>
    </row>
    <row r="334" spans="1:14" ht="14.4" hidden="1" customHeight="1" x14ac:dyDescent="0.3">
      <c r="A334" s="29" t="s">
        <v>871</v>
      </c>
      <c r="B334" s="15">
        <v>1</v>
      </c>
      <c r="C334" s="16" t="e">
        <f>IF([2]!Artículos4[[#This Row],[Proveedor (código)]]="","",VLOOKUP([2]!Artículos4[[#This Row],[Proveedor (código)]],[2]Proveedores!A:B,2,FALSE))</f>
        <v>#REF!</v>
      </c>
      <c r="D334" s="29" t="s">
        <v>388</v>
      </c>
      <c r="E334" s="29" t="s">
        <v>334</v>
      </c>
      <c r="F334" s="51"/>
      <c r="G334" s="14"/>
      <c r="H334" s="14"/>
      <c r="I334" s="14"/>
      <c r="J334" s="16">
        <f>SUMIFS(Entradas!G:G,Entradas!E:E,Artículos[[#This Row],[Código]])</f>
        <v>0</v>
      </c>
      <c r="K334" s="16">
        <f>SUMIFS(Salidas!G:G,Salidas!E:E,Artículos[[#This Row],[Código]])</f>
        <v>0</v>
      </c>
      <c r="L334" s="16">
        <f>Artículos[[#This Row],[Existencias iniciales]]+Artículos[[#This Row],[Entradas]]-Artículos[[#This Row],[Salidas]]</f>
        <v>0</v>
      </c>
      <c r="M334" s="16"/>
      <c r="N334" s="16"/>
    </row>
    <row r="335" spans="1:14" ht="14.4" hidden="1" customHeight="1" x14ac:dyDescent="0.3">
      <c r="A335" s="29" t="s">
        <v>872</v>
      </c>
      <c r="B335" s="15">
        <v>1</v>
      </c>
      <c r="C335" s="16" t="e">
        <f>IF([2]!Artículos4[[#This Row],[Proveedor (código)]]="","",VLOOKUP([2]!Artículos4[[#This Row],[Proveedor (código)]],[2]Proveedores!A:B,2,FALSE))</f>
        <v>#REF!</v>
      </c>
      <c r="D335" s="29" t="s">
        <v>389</v>
      </c>
      <c r="E335" s="29" t="s">
        <v>334</v>
      </c>
      <c r="F335" s="51"/>
      <c r="G335" s="14"/>
      <c r="H335" s="14"/>
      <c r="I335" s="14"/>
      <c r="J335" s="16">
        <f>SUMIFS(Entradas!G:G,Entradas!E:E,Artículos[[#This Row],[Código]])</f>
        <v>0</v>
      </c>
      <c r="K335" s="16">
        <f>SUMIFS(Salidas!G:G,Salidas!E:E,Artículos[[#This Row],[Código]])</f>
        <v>0</v>
      </c>
      <c r="L335" s="16">
        <f>Artículos[[#This Row],[Existencias iniciales]]+Artículos[[#This Row],[Entradas]]-Artículos[[#This Row],[Salidas]]</f>
        <v>0</v>
      </c>
      <c r="M335" s="16"/>
      <c r="N335" s="16"/>
    </row>
    <row r="336" spans="1:14" ht="14.4" hidden="1" customHeight="1" x14ac:dyDescent="0.3">
      <c r="A336" s="29" t="s">
        <v>873</v>
      </c>
      <c r="B336" s="15">
        <v>1</v>
      </c>
      <c r="C336" s="16" t="e">
        <f>IF([2]!Artículos4[[#This Row],[Proveedor (código)]]="","",VLOOKUP([2]!Artículos4[[#This Row],[Proveedor (código)]],[2]Proveedores!A:B,2,FALSE))</f>
        <v>#REF!</v>
      </c>
      <c r="D336" s="29" t="s">
        <v>390</v>
      </c>
      <c r="E336" s="29" t="s">
        <v>334</v>
      </c>
      <c r="F336" s="51"/>
      <c r="G336" s="14"/>
      <c r="H336" s="14"/>
      <c r="I336" s="14"/>
      <c r="J336" s="16">
        <f>SUMIFS(Entradas!G:G,Entradas!E:E,Artículos[[#This Row],[Código]])</f>
        <v>0</v>
      </c>
      <c r="K336" s="16">
        <f>SUMIFS(Salidas!G:G,Salidas!E:E,Artículos[[#This Row],[Código]])</f>
        <v>0</v>
      </c>
      <c r="L336" s="16">
        <f>Artículos[[#This Row],[Existencias iniciales]]+Artículos[[#This Row],[Entradas]]-Artículos[[#This Row],[Salidas]]</f>
        <v>0</v>
      </c>
      <c r="M336" s="16"/>
      <c r="N336" s="16"/>
    </row>
    <row r="337" spans="1:14" ht="14.4" hidden="1" customHeight="1" x14ac:dyDescent="0.3">
      <c r="A337" s="29" t="s">
        <v>874</v>
      </c>
      <c r="B337" s="15">
        <v>1</v>
      </c>
      <c r="C337" s="16" t="e">
        <f>IF([2]!Artículos4[[#This Row],[Proveedor (código)]]="","",VLOOKUP([2]!Artículos4[[#This Row],[Proveedor (código)]],[2]Proveedores!A:B,2,FALSE))</f>
        <v>#REF!</v>
      </c>
      <c r="D337" s="29" t="s">
        <v>684</v>
      </c>
      <c r="E337" s="29" t="s">
        <v>334</v>
      </c>
      <c r="F337" s="51"/>
      <c r="G337" s="14"/>
      <c r="H337" s="14"/>
      <c r="I337" s="14"/>
      <c r="J337" s="16">
        <f>SUMIFS(Entradas!G:G,Entradas!E:E,Artículos[[#This Row],[Código]])</f>
        <v>0</v>
      </c>
      <c r="K337" s="16">
        <f>SUMIFS(Salidas!G:G,Salidas!E:E,Artículos[[#This Row],[Código]])</f>
        <v>0</v>
      </c>
      <c r="L337" s="16">
        <f>Artículos[[#This Row],[Existencias iniciales]]+Artículos[[#This Row],[Entradas]]-Artículos[[#This Row],[Salidas]]</f>
        <v>0</v>
      </c>
      <c r="M337" s="16"/>
      <c r="N337" s="16"/>
    </row>
    <row r="338" spans="1:14" ht="14.4" hidden="1" customHeight="1" x14ac:dyDescent="0.3">
      <c r="A338" s="29" t="s">
        <v>875</v>
      </c>
      <c r="B338" s="15">
        <v>1</v>
      </c>
      <c r="C338" s="16" t="e">
        <f>IF([2]!Artículos4[[#This Row],[Proveedor (código)]]="","",VLOOKUP([2]!Artículos4[[#This Row],[Proveedor (código)]],[2]Proveedores!A:B,2,FALSE))</f>
        <v>#REF!</v>
      </c>
      <c r="D338" s="29" t="s">
        <v>391</v>
      </c>
      <c r="E338" s="29" t="s">
        <v>334</v>
      </c>
      <c r="F338" s="51"/>
      <c r="G338" s="14"/>
      <c r="H338" s="14"/>
      <c r="I338" s="14"/>
      <c r="J338" s="16">
        <f>SUMIFS(Entradas!G:G,Entradas!E:E,Artículos[[#This Row],[Código]])</f>
        <v>0</v>
      </c>
      <c r="K338" s="16">
        <f>SUMIFS(Salidas!G:G,Salidas!E:E,Artículos[[#This Row],[Código]])</f>
        <v>0</v>
      </c>
      <c r="L338" s="16">
        <f>Artículos[[#This Row],[Existencias iniciales]]+Artículos[[#This Row],[Entradas]]-Artículos[[#This Row],[Salidas]]</f>
        <v>0</v>
      </c>
      <c r="M338" s="16"/>
      <c r="N338" s="16"/>
    </row>
    <row r="339" spans="1:14" ht="14.4" hidden="1" customHeight="1" x14ac:dyDescent="0.3">
      <c r="A339" s="29" t="s">
        <v>876</v>
      </c>
      <c r="B339" s="15">
        <v>1</v>
      </c>
      <c r="C339" s="16" t="e">
        <f>IF([2]!Artículos4[[#This Row],[Proveedor (código)]]="","",VLOOKUP([2]!Artículos4[[#This Row],[Proveedor (código)]],[2]Proveedores!A:B,2,FALSE))</f>
        <v>#REF!</v>
      </c>
      <c r="D339" s="29" t="s">
        <v>392</v>
      </c>
      <c r="E339" s="29" t="s">
        <v>334</v>
      </c>
      <c r="F339" s="51"/>
      <c r="G339" s="14"/>
      <c r="H339" s="14"/>
      <c r="I339" s="14"/>
      <c r="J339" s="16">
        <f>SUMIFS(Entradas!G:G,Entradas!E:E,Artículos[[#This Row],[Código]])</f>
        <v>0</v>
      </c>
      <c r="K339" s="16">
        <f>SUMIFS(Salidas!G:G,Salidas!E:E,Artículos[[#This Row],[Código]])</f>
        <v>0</v>
      </c>
      <c r="L339" s="16">
        <f>Artículos[[#This Row],[Existencias iniciales]]+Artículos[[#This Row],[Entradas]]-Artículos[[#This Row],[Salidas]]</f>
        <v>0</v>
      </c>
      <c r="M339" s="16"/>
      <c r="N339" s="16"/>
    </row>
    <row r="340" spans="1:14" ht="14.4" hidden="1" customHeight="1" x14ac:dyDescent="0.3">
      <c r="A340" s="29" t="s">
        <v>877</v>
      </c>
      <c r="B340" s="15">
        <v>1</v>
      </c>
      <c r="C340" s="16" t="e">
        <f>IF([2]!Artículos4[[#This Row],[Proveedor (código)]]="","",VLOOKUP([2]!Artículos4[[#This Row],[Proveedor (código)]],[2]Proveedores!A:B,2,FALSE))</f>
        <v>#REF!</v>
      </c>
      <c r="D340" s="29" t="s">
        <v>393</v>
      </c>
      <c r="E340" s="29" t="s">
        <v>334</v>
      </c>
      <c r="F340" s="51"/>
      <c r="G340" s="14"/>
      <c r="H340" s="14"/>
      <c r="I340" s="14"/>
      <c r="J340" s="16">
        <f>SUMIFS(Entradas!G:G,Entradas!E:E,Artículos[[#This Row],[Código]])</f>
        <v>0</v>
      </c>
      <c r="K340" s="16">
        <f>SUMIFS(Salidas!G:G,Salidas!E:E,Artículos[[#This Row],[Código]])</f>
        <v>0</v>
      </c>
      <c r="L340" s="16">
        <f>Artículos[[#This Row],[Existencias iniciales]]+Artículos[[#This Row],[Entradas]]-Artículos[[#This Row],[Salidas]]</f>
        <v>0</v>
      </c>
      <c r="M340" s="16"/>
      <c r="N340" s="16"/>
    </row>
    <row r="341" spans="1:14" ht="14.4" hidden="1" customHeight="1" x14ac:dyDescent="0.3">
      <c r="A341" s="29" t="s">
        <v>878</v>
      </c>
      <c r="B341" s="15">
        <v>1</v>
      </c>
      <c r="C341" s="16" t="e">
        <f>IF([2]!Artículos4[[#This Row],[Proveedor (código)]]="","",VLOOKUP([2]!Artículos4[[#This Row],[Proveedor (código)]],[2]Proveedores!A:B,2,FALSE))</f>
        <v>#REF!</v>
      </c>
      <c r="D341" s="29" t="s">
        <v>394</v>
      </c>
      <c r="E341" s="29" t="s">
        <v>334</v>
      </c>
      <c r="F341" s="51"/>
      <c r="G341" s="14"/>
      <c r="H341" s="14"/>
      <c r="I341" s="14">
        <v>5</v>
      </c>
      <c r="J341" s="16">
        <f>SUMIFS(Entradas!G:G,Entradas!E:E,Artículos[[#This Row],[Código]])</f>
        <v>0</v>
      </c>
      <c r="K341" s="16">
        <f>SUMIFS(Salidas!G:G,Salidas!E:E,Artículos[[#This Row],[Código]])</f>
        <v>0</v>
      </c>
      <c r="L341" s="16">
        <f>Artículos[[#This Row],[Existencias iniciales]]+Artículos[[#This Row],[Entradas]]-Artículos[[#This Row],[Salidas]]</f>
        <v>5</v>
      </c>
      <c r="M341" s="16"/>
      <c r="N341" s="16"/>
    </row>
    <row r="342" spans="1:14" ht="14.4" hidden="1" customHeight="1" x14ac:dyDescent="0.3">
      <c r="A342" s="29" t="s">
        <v>879</v>
      </c>
      <c r="B342" s="15">
        <v>1</v>
      </c>
      <c r="C342" s="16" t="e">
        <f>IF([2]!Artículos4[[#This Row],[Proveedor (código)]]="","",VLOOKUP([2]!Artículos4[[#This Row],[Proveedor (código)]],[2]Proveedores!A:B,2,FALSE))</f>
        <v>#REF!</v>
      </c>
      <c r="D342" s="29" t="s">
        <v>395</v>
      </c>
      <c r="E342" s="29" t="s">
        <v>334</v>
      </c>
      <c r="F342" s="51"/>
      <c r="G342" s="14"/>
      <c r="H342" s="14"/>
      <c r="I342" s="14">
        <v>5</v>
      </c>
      <c r="J342" s="16">
        <f>SUMIFS(Entradas!G:G,Entradas!E:E,Artículos[[#This Row],[Código]])</f>
        <v>0</v>
      </c>
      <c r="K342" s="16">
        <f>SUMIFS(Salidas!G:G,Salidas!E:E,Artículos[[#This Row],[Código]])</f>
        <v>2</v>
      </c>
      <c r="L342" s="16">
        <f>Artículos[[#This Row],[Existencias iniciales]]+Artículos[[#This Row],[Entradas]]-Artículos[[#This Row],[Salidas]]</f>
        <v>3</v>
      </c>
      <c r="M342" s="16"/>
      <c r="N342" s="16"/>
    </row>
    <row r="343" spans="1:14" ht="14.4" hidden="1" customHeight="1" x14ac:dyDescent="0.3">
      <c r="A343" s="29" t="s">
        <v>880</v>
      </c>
      <c r="B343" s="15">
        <v>1</v>
      </c>
      <c r="C343" s="16" t="e">
        <f>IF([2]!Artículos4[[#This Row],[Proveedor (código)]]="","",VLOOKUP([2]!Artículos4[[#This Row],[Proveedor (código)]],[2]Proveedores!A:B,2,FALSE))</f>
        <v>#REF!</v>
      </c>
      <c r="D343" s="29" t="s">
        <v>396</v>
      </c>
      <c r="E343" s="29" t="s">
        <v>334</v>
      </c>
      <c r="F343" s="51">
        <v>2</v>
      </c>
      <c r="G343" s="14"/>
      <c r="H343" s="14"/>
      <c r="I343" s="14">
        <v>3</v>
      </c>
      <c r="J343" s="16">
        <f>SUMIFS(Entradas!G:G,Entradas!E:E,Artículos[[#This Row],[Código]])</f>
        <v>0</v>
      </c>
      <c r="K343" s="16">
        <f>SUMIFS(Salidas!G:G,Salidas!E:E,Artículos[[#This Row],[Código]])</f>
        <v>0</v>
      </c>
      <c r="L343" s="16">
        <f>Artículos[[#This Row],[Existencias iniciales]]+Artículos[[#This Row],[Entradas]]-Artículos[[#This Row],[Salidas]]</f>
        <v>3</v>
      </c>
      <c r="M343" s="16"/>
      <c r="N343" s="16"/>
    </row>
    <row r="344" spans="1:14" ht="14.4" hidden="1" customHeight="1" x14ac:dyDescent="0.3">
      <c r="A344" s="29" t="s">
        <v>881</v>
      </c>
      <c r="B344" s="15">
        <v>1</v>
      </c>
      <c r="C344" s="16" t="e">
        <f>IF([2]!Artículos4[[#This Row],[Proveedor (código)]]="","",VLOOKUP([2]!Artículos4[[#This Row],[Proveedor (código)]],[2]Proveedores!A:B,2,FALSE))</f>
        <v>#REF!</v>
      </c>
      <c r="D344" s="29"/>
      <c r="E344" s="29" t="s">
        <v>334</v>
      </c>
      <c r="F344" s="51"/>
      <c r="G344" s="14"/>
      <c r="H344" s="14"/>
      <c r="I344" s="14"/>
      <c r="J344" s="16">
        <f>SUMIFS(Entradas!G:G,Entradas!E:E,Artículos[[#This Row],[Código]])</f>
        <v>0</v>
      </c>
      <c r="K344" s="16">
        <f>SUMIFS(Salidas!G:G,Salidas!E:E,Artículos[[#This Row],[Código]])</f>
        <v>0</v>
      </c>
      <c r="L344" s="16">
        <f>Artículos[[#This Row],[Existencias iniciales]]+Artículos[[#This Row],[Entradas]]-Artículos[[#This Row],[Salidas]]</f>
        <v>0</v>
      </c>
      <c r="M344" s="16"/>
      <c r="N344" s="16"/>
    </row>
    <row r="345" spans="1:14" ht="14.4" hidden="1" customHeight="1" x14ac:dyDescent="0.3">
      <c r="A345" s="29" t="s">
        <v>882</v>
      </c>
      <c r="B345" s="15">
        <v>1</v>
      </c>
      <c r="C345" s="16" t="e">
        <f>IF([2]!Artículos4[[#This Row],[Proveedor (código)]]="","",VLOOKUP([2]!Artículos4[[#This Row],[Proveedor (código)]],[2]Proveedores!A:B,2,FALSE))</f>
        <v>#REF!</v>
      </c>
      <c r="D345" s="29"/>
      <c r="E345" s="29" t="s">
        <v>334</v>
      </c>
      <c r="F345" s="51"/>
      <c r="G345" s="14"/>
      <c r="H345" s="14"/>
      <c r="I345" s="14"/>
      <c r="J345" s="16">
        <f>SUMIFS(Entradas!G:G,Entradas!E:E,Artículos[[#This Row],[Código]])</f>
        <v>0</v>
      </c>
      <c r="K345" s="16">
        <f>SUMIFS(Salidas!G:G,Salidas!E:E,Artículos[[#This Row],[Código]])</f>
        <v>0</v>
      </c>
      <c r="L345" s="16">
        <f>Artículos[[#This Row],[Existencias iniciales]]+Artículos[[#This Row],[Entradas]]-Artículos[[#This Row],[Salidas]]</f>
        <v>0</v>
      </c>
      <c r="M345" s="16"/>
      <c r="N345" s="16"/>
    </row>
    <row r="346" spans="1:14" ht="14.4" hidden="1" customHeight="1" x14ac:dyDescent="0.3">
      <c r="A346" s="29" t="s">
        <v>883</v>
      </c>
      <c r="B346" s="15">
        <v>1</v>
      </c>
      <c r="C346" s="16" t="e">
        <f>IF([2]!Artículos4[[#This Row],[Proveedor (código)]]="","",VLOOKUP([2]!Artículos4[[#This Row],[Proveedor (código)]],[2]Proveedores!A:B,2,FALSE))</f>
        <v>#REF!</v>
      </c>
      <c r="D346" s="29"/>
      <c r="E346" s="29" t="s">
        <v>334</v>
      </c>
      <c r="F346" s="51"/>
      <c r="G346" s="14"/>
      <c r="H346" s="14"/>
      <c r="I346" s="14"/>
      <c r="J346" s="16">
        <f>SUMIFS(Entradas!G:G,Entradas!E:E,Artículos[[#This Row],[Código]])</f>
        <v>0</v>
      </c>
      <c r="K346" s="16">
        <f>SUMIFS(Salidas!G:G,Salidas!E:E,Artículos[[#This Row],[Código]])</f>
        <v>0</v>
      </c>
      <c r="L346" s="16">
        <f>Artículos[[#This Row],[Existencias iniciales]]+Artículos[[#This Row],[Entradas]]-Artículos[[#This Row],[Salidas]]</f>
        <v>0</v>
      </c>
      <c r="M346" s="16"/>
      <c r="N346" s="16"/>
    </row>
    <row r="347" spans="1:14" ht="14.4" hidden="1" customHeight="1" x14ac:dyDescent="0.3">
      <c r="A347" s="29" t="s">
        <v>884</v>
      </c>
      <c r="B347" s="15"/>
      <c r="C347" s="16" t="e">
        <f>IF([2]!Artículos4[[#This Row],[Proveedor (código)]]="","",VLOOKUP([2]!Artículos4[[#This Row],[Proveedor (código)]],[2]Proveedores!A:B,2,FALSE))</f>
        <v>#REF!</v>
      </c>
      <c r="D347" s="29"/>
      <c r="E347" s="29" t="s">
        <v>334</v>
      </c>
      <c r="F347" s="51"/>
      <c r="G347" s="14"/>
      <c r="H347" s="14"/>
      <c r="I347" s="14"/>
      <c r="J347" s="16">
        <f>SUMIFS(Entradas!G:G,Entradas!E:E,Artículos[[#This Row],[Código]])</f>
        <v>0</v>
      </c>
      <c r="K347" s="16">
        <f>SUMIFS(Salidas!G:G,Salidas!E:E,Artículos[[#This Row],[Código]])</f>
        <v>0</v>
      </c>
      <c r="L347" s="16">
        <f>Artículos[[#This Row],[Existencias iniciales]]+Artículos[[#This Row],[Entradas]]-Artículos[[#This Row],[Salidas]]</f>
        <v>0</v>
      </c>
      <c r="M347" s="16"/>
      <c r="N347" s="16"/>
    </row>
    <row r="348" spans="1:14" ht="14.4" hidden="1" customHeight="1" x14ac:dyDescent="0.3">
      <c r="A348" s="29" t="s">
        <v>949</v>
      </c>
      <c r="B348" s="15"/>
      <c r="C348" s="16" t="e">
        <f>IF([2]!Artículos4[[#This Row],[Proveedor (código)]]="","",VLOOKUP([2]!Artículos4[[#This Row],[Proveedor (código)]],[2]Proveedores!A:B,2,FALSE))</f>
        <v>#REF!</v>
      </c>
      <c r="D348" s="29" t="s">
        <v>397</v>
      </c>
      <c r="E348" s="29" t="s">
        <v>398</v>
      </c>
      <c r="F348" s="51"/>
      <c r="G348" s="14"/>
      <c r="H348" s="14"/>
      <c r="I348" s="14">
        <v>107</v>
      </c>
      <c r="J348" s="16">
        <f>SUMIFS(Entradas!G:G,Entradas!E:E,Artículos[[#This Row],[Código]])</f>
        <v>0</v>
      </c>
      <c r="K348" s="16">
        <f>SUMIFS(Salidas!G:G,Salidas!E:E,Artículos[[#This Row],[Código]])</f>
        <v>35</v>
      </c>
      <c r="L348" s="16">
        <f>Artículos[[#This Row],[Existencias iniciales]]+Artículos[[#This Row],[Entradas]]-Artículos[[#This Row],[Salidas]]</f>
        <v>72</v>
      </c>
      <c r="M348" s="16"/>
      <c r="N348" s="16"/>
    </row>
    <row r="349" spans="1:14" ht="14.4" hidden="1" customHeight="1" x14ac:dyDescent="0.3">
      <c r="A349" s="29" t="s">
        <v>950</v>
      </c>
      <c r="B349" s="15">
        <v>1</v>
      </c>
      <c r="C349" s="16" t="e">
        <f>IF([2]!Artículos4[[#This Row],[Proveedor (código)]]="","",VLOOKUP([2]!Artículos4[[#This Row],[Proveedor (código)]],[2]Proveedores!A:B,2,FALSE))</f>
        <v>#REF!</v>
      </c>
      <c r="D349" s="29" t="s">
        <v>399</v>
      </c>
      <c r="E349" s="29" t="s">
        <v>398</v>
      </c>
      <c r="F349" s="51"/>
      <c r="G349" s="14"/>
      <c r="H349" s="14"/>
      <c r="I349" s="14">
        <v>5</v>
      </c>
      <c r="J349" s="16">
        <f>SUMIFS(Entradas!G:G,Entradas!E:E,Artículos[[#This Row],[Código]])</f>
        <v>0</v>
      </c>
      <c r="K349" s="16">
        <f>SUMIFS(Salidas!G:G,Salidas!E:E,Artículos[[#This Row],[Código]])</f>
        <v>0</v>
      </c>
      <c r="L349" s="16">
        <f>Artículos[[#This Row],[Existencias iniciales]]+Artículos[[#This Row],[Entradas]]-Artículos[[#This Row],[Salidas]]</f>
        <v>5</v>
      </c>
      <c r="M349" s="16"/>
      <c r="N349" s="16"/>
    </row>
    <row r="350" spans="1:14" ht="14.4" hidden="1" customHeight="1" x14ac:dyDescent="0.3">
      <c r="A350" s="29" t="s">
        <v>951</v>
      </c>
      <c r="B350" s="15"/>
      <c r="C350" s="16" t="e">
        <f>IF([2]!Artículos4[[#This Row],[Proveedor (código)]]="","",VLOOKUP([2]!Artículos4[[#This Row],[Proveedor (código)]],[2]Proveedores!A:B,2,FALSE))</f>
        <v>#REF!</v>
      </c>
      <c r="D350" s="29" t="s">
        <v>400</v>
      </c>
      <c r="E350" s="29" t="s">
        <v>398</v>
      </c>
      <c r="F350" s="51"/>
      <c r="G350" s="14"/>
      <c r="H350" s="14"/>
      <c r="I350" s="14">
        <v>5</v>
      </c>
      <c r="J350" s="16">
        <f>SUMIFS(Entradas!G:G,Entradas!E:E,Artículos[[#This Row],[Código]])</f>
        <v>0</v>
      </c>
      <c r="K350" s="16">
        <f>SUMIFS(Salidas!G:G,Salidas!E:E,Artículos[[#This Row],[Código]])</f>
        <v>0</v>
      </c>
      <c r="L350" s="16">
        <f>Artículos[[#This Row],[Existencias iniciales]]+Artículos[[#This Row],[Entradas]]-Artículos[[#This Row],[Salidas]]</f>
        <v>5</v>
      </c>
      <c r="M350" s="16"/>
      <c r="N350" s="16"/>
    </row>
    <row r="351" spans="1:14" ht="14.4" hidden="1" customHeight="1" x14ac:dyDescent="0.3">
      <c r="A351" s="29" t="s">
        <v>952</v>
      </c>
      <c r="B351" s="15"/>
      <c r="C351" s="16" t="e">
        <f>IF([2]!Artículos4[[#This Row],[Proveedor (código)]]="","",VLOOKUP([2]!Artículos4[[#This Row],[Proveedor (código)]],[2]Proveedores!A:B,2,FALSE))</f>
        <v>#REF!</v>
      </c>
      <c r="D351" s="29" t="s">
        <v>401</v>
      </c>
      <c r="E351" s="29" t="s">
        <v>398</v>
      </c>
      <c r="F351" s="51"/>
      <c r="G351" s="14"/>
      <c r="H351" s="14"/>
      <c r="I351" s="14"/>
      <c r="J351" s="16">
        <f>SUMIFS(Entradas!G:G,Entradas!E:E,Artículos[[#This Row],[Código]])</f>
        <v>0</v>
      </c>
      <c r="K351" s="16">
        <f>SUMIFS(Salidas!G:G,Salidas!E:E,Artículos[[#This Row],[Código]])</f>
        <v>0</v>
      </c>
      <c r="L351" s="16">
        <f>Artículos[[#This Row],[Existencias iniciales]]+Artículos[[#This Row],[Entradas]]-Artículos[[#This Row],[Salidas]]</f>
        <v>0</v>
      </c>
      <c r="M351" s="16"/>
      <c r="N351" s="16"/>
    </row>
    <row r="352" spans="1:14" ht="14.4" hidden="1" customHeight="1" x14ac:dyDescent="0.3">
      <c r="A352" s="29" t="s">
        <v>953</v>
      </c>
      <c r="B352" s="15"/>
      <c r="C352" s="16" t="e">
        <f>IF([2]!Artículos4[[#This Row],[Proveedor (código)]]="","",VLOOKUP([2]!Artículos4[[#This Row],[Proveedor (código)]],[2]Proveedores!A:B,2,FALSE))</f>
        <v>#REF!</v>
      </c>
      <c r="D352" s="29" t="s">
        <v>402</v>
      </c>
      <c r="E352" s="29" t="s">
        <v>398</v>
      </c>
      <c r="F352" s="51"/>
      <c r="G352" s="14"/>
      <c r="H352" s="14"/>
      <c r="I352" s="14"/>
      <c r="J352" s="16">
        <f>SUMIFS(Entradas!G:G,Entradas!E:E,Artículos[[#This Row],[Código]])</f>
        <v>6</v>
      </c>
      <c r="K352" s="16">
        <f>SUMIFS(Salidas!G:G,Salidas!E:E,Artículos[[#This Row],[Código]])</f>
        <v>0</v>
      </c>
      <c r="L352" s="16">
        <f>Artículos[[#This Row],[Existencias iniciales]]+Artículos[[#This Row],[Entradas]]-Artículos[[#This Row],[Salidas]]</f>
        <v>6</v>
      </c>
      <c r="M352" s="16"/>
      <c r="N352" s="16"/>
    </row>
    <row r="353" spans="1:14" ht="14.4" hidden="1" customHeight="1" x14ac:dyDescent="0.3">
      <c r="A353" s="29" t="s">
        <v>954</v>
      </c>
      <c r="B353" s="15"/>
      <c r="C353" s="16" t="e">
        <f>IF([2]!Artículos4[[#This Row],[Proveedor (código)]]="","",VLOOKUP([2]!Artículos4[[#This Row],[Proveedor (código)]],[2]Proveedores!A:B,2,FALSE))</f>
        <v>#REF!</v>
      </c>
      <c r="D353" s="29" t="s">
        <v>403</v>
      </c>
      <c r="E353" s="29" t="s">
        <v>398</v>
      </c>
      <c r="F353" s="51"/>
      <c r="G353" s="14"/>
      <c r="H353" s="14"/>
      <c r="I353" s="14"/>
      <c r="J353" s="16">
        <f>SUMIFS(Entradas!G:G,Entradas!E:E,Artículos[[#This Row],[Código]])</f>
        <v>0</v>
      </c>
      <c r="K353" s="16">
        <f>SUMIFS(Salidas!G:G,Salidas!E:E,Artículos[[#This Row],[Código]])</f>
        <v>0</v>
      </c>
      <c r="L353" s="16">
        <f>Artículos[[#This Row],[Existencias iniciales]]+Artículos[[#This Row],[Entradas]]-Artículos[[#This Row],[Salidas]]</f>
        <v>0</v>
      </c>
      <c r="M353" s="16"/>
      <c r="N353" s="16"/>
    </row>
    <row r="354" spans="1:14" ht="14.4" hidden="1" customHeight="1" x14ac:dyDescent="0.3">
      <c r="A354" s="29" t="s">
        <v>955</v>
      </c>
      <c r="B354" s="15"/>
      <c r="C354" s="16" t="e">
        <f>IF([2]!Artículos4[[#This Row],[Proveedor (código)]]="","",VLOOKUP([2]!Artículos4[[#This Row],[Proveedor (código)]],[2]Proveedores!A:B,2,FALSE))</f>
        <v>#REF!</v>
      </c>
      <c r="D354" s="29" t="s">
        <v>404</v>
      </c>
      <c r="E354" s="29" t="s">
        <v>398</v>
      </c>
      <c r="F354" s="51"/>
      <c r="G354" s="14"/>
      <c r="H354" s="14"/>
      <c r="I354" s="14"/>
      <c r="J354" s="16">
        <f>SUMIFS(Entradas!G:G,Entradas!E:E,Artículos[[#This Row],[Código]])</f>
        <v>0</v>
      </c>
      <c r="K354" s="16">
        <f>SUMIFS(Salidas!G:G,Salidas!E:E,Artículos[[#This Row],[Código]])</f>
        <v>0</v>
      </c>
      <c r="L354" s="16">
        <f>Artículos[[#This Row],[Existencias iniciales]]+Artículos[[#This Row],[Entradas]]-Artículos[[#This Row],[Salidas]]</f>
        <v>0</v>
      </c>
      <c r="M354" s="16"/>
      <c r="N354" s="16"/>
    </row>
    <row r="355" spans="1:14" ht="14.4" hidden="1" customHeight="1" x14ac:dyDescent="0.3">
      <c r="A355" s="29" t="s">
        <v>956</v>
      </c>
      <c r="B355" s="15"/>
      <c r="C355" s="16" t="e">
        <f>IF([2]!Artículos4[[#This Row],[Proveedor (código)]]="","",VLOOKUP([2]!Artículos4[[#This Row],[Proveedor (código)]],[2]Proveedores!A:B,2,FALSE))</f>
        <v>#REF!</v>
      </c>
      <c r="D355" s="29" t="s">
        <v>405</v>
      </c>
      <c r="E355" s="29" t="s">
        <v>398</v>
      </c>
      <c r="F355" s="51">
        <v>7.6</v>
      </c>
      <c r="G355" s="14"/>
      <c r="H355" s="14"/>
      <c r="I355" s="14">
        <v>33</v>
      </c>
      <c r="J355" s="16">
        <f>SUMIFS(Entradas!G:G,Entradas!E:E,Artículos[[#This Row],[Código]])</f>
        <v>1</v>
      </c>
      <c r="K355" s="16">
        <f>SUMIFS(Salidas!G:G,Salidas!E:E,Artículos[[#This Row],[Código]])</f>
        <v>0</v>
      </c>
      <c r="L355" s="16">
        <f>Artículos[[#This Row],[Existencias iniciales]]+Artículos[[#This Row],[Entradas]]-Artículos[[#This Row],[Salidas]]</f>
        <v>34</v>
      </c>
      <c r="M355" s="16"/>
      <c r="N355" s="16"/>
    </row>
    <row r="356" spans="1:14" ht="14.4" hidden="1" customHeight="1" x14ac:dyDescent="0.3">
      <c r="A356" s="29" t="s">
        <v>957</v>
      </c>
      <c r="B356" s="15"/>
      <c r="C356" s="16" t="e">
        <f>IF([2]!Artículos4[[#This Row],[Proveedor (código)]]="","",VLOOKUP([2]!Artículos4[[#This Row],[Proveedor (código)]],[2]Proveedores!A:B,2,FALSE))</f>
        <v>#REF!</v>
      </c>
      <c r="D356" s="29" t="s">
        <v>406</v>
      </c>
      <c r="E356" s="29" t="s">
        <v>398</v>
      </c>
      <c r="F356" s="51"/>
      <c r="G356" s="14"/>
      <c r="H356" s="14"/>
      <c r="I356" s="14">
        <v>5</v>
      </c>
      <c r="J356" s="16">
        <f>SUMIFS(Entradas!G:G,Entradas!E:E,Artículos[[#This Row],[Código]])</f>
        <v>0</v>
      </c>
      <c r="K356" s="16">
        <f>SUMIFS(Salidas!G:G,Salidas!E:E,Artículos[[#This Row],[Código]])</f>
        <v>0</v>
      </c>
      <c r="L356" s="16">
        <f>Artículos[[#This Row],[Existencias iniciales]]+Artículos[[#This Row],[Entradas]]-Artículos[[#This Row],[Salidas]]</f>
        <v>5</v>
      </c>
      <c r="M356" s="16"/>
      <c r="N356" s="16"/>
    </row>
    <row r="357" spans="1:14" ht="14.4" hidden="1" customHeight="1" x14ac:dyDescent="0.3">
      <c r="A357" s="29" t="s">
        <v>958</v>
      </c>
      <c r="B357" s="15"/>
      <c r="C357" s="16" t="e">
        <f>IF([2]!Artículos4[[#This Row],[Proveedor (código)]]="","",VLOOKUP([2]!Artículos4[[#This Row],[Proveedor (código)]],[2]Proveedores!A:B,2,FALSE))</f>
        <v>#REF!</v>
      </c>
      <c r="D357" s="29" t="s">
        <v>407</v>
      </c>
      <c r="E357" s="29" t="s">
        <v>398</v>
      </c>
      <c r="F357" s="51"/>
      <c r="G357" s="14"/>
      <c r="H357" s="14"/>
      <c r="I357" s="14">
        <v>4</v>
      </c>
      <c r="J357" s="16">
        <f>SUMIFS(Entradas!G:G,Entradas!E:E,Artículos[[#This Row],[Código]])</f>
        <v>0</v>
      </c>
      <c r="K357" s="16">
        <f>SUMIFS(Salidas!G:G,Salidas!E:E,Artículos[[#This Row],[Código]])</f>
        <v>0</v>
      </c>
      <c r="L357" s="16">
        <f>Artículos[[#This Row],[Existencias iniciales]]+Artículos[[#This Row],[Entradas]]-Artículos[[#This Row],[Salidas]]</f>
        <v>4</v>
      </c>
      <c r="M357" s="16"/>
      <c r="N357" s="16"/>
    </row>
    <row r="358" spans="1:14" ht="14.4" hidden="1" customHeight="1" x14ac:dyDescent="0.3">
      <c r="A358" s="29" t="s">
        <v>959</v>
      </c>
      <c r="B358" s="15"/>
      <c r="C358" s="16" t="e">
        <f>IF([2]!Artículos4[[#This Row],[Proveedor (código)]]="","",VLOOKUP([2]!Artículos4[[#This Row],[Proveedor (código)]],[2]Proveedores!A:B,2,FALSE))</f>
        <v>#REF!</v>
      </c>
      <c r="D358" s="29"/>
      <c r="E358" s="29" t="s">
        <v>398</v>
      </c>
      <c r="F358" s="51"/>
      <c r="G358" s="14"/>
      <c r="H358" s="14"/>
      <c r="I358" s="14"/>
      <c r="J358" s="16">
        <f>SUMIFS(Entradas!G:G,Entradas!E:E,Artículos[[#This Row],[Código]])</f>
        <v>0</v>
      </c>
      <c r="K358" s="16">
        <f>SUMIFS(Salidas!G:G,Salidas!E:E,Artículos[[#This Row],[Código]])</f>
        <v>0</v>
      </c>
      <c r="L358" s="16">
        <f>Artículos[[#This Row],[Existencias iniciales]]+Artículos[[#This Row],[Entradas]]-Artículos[[#This Row],[Salidas]]</f>
        <v>0</v>
      </c>
      <c r="M358" s="16"/>
      <c r="N358" s="16"/>
    </row>
    <row r="359" spans="1:14" ht="14.4" hidden="1" customHeight="1" x14ac:dyDescent="0.3">
      <c r="A359" s="29" t="s">
        <v>960</v>
      </c>
      <c r="B359" s="15"/>
      <c r="C359" s="16" t="e">
        <f>IF([2]!Artículos4[[#This Row],[Proveedor (código)]]="","",VLOOKUP([2]!Artículos4[[#This Row],[Proveedor (código)]],[2]Proveedores!A:B,2,FALSE))</f>
        <v>#REF!</v>
      </c>
      <c r="D359" s="29"/>
      <c r="E359" s="29" t="s">
        <v>398</v>
      </c>
      <c r="F359" s="51"/>
      <c r="G359" s="14"/>
      <c r="H359" s="14"/>
      <c r="I359" s="14"/>
      <c r="J359" s="16">
        <f>SUMIFS(Entradas!G:G,Entradas!E:E,Artículos[[#This Row],[Código]])</f>
        <v>0</v>
      </c>
      <c r="K359" s="16">
        <f>SUMIFS(Salidas!G:G,Salidas!E:E,Artículos[[#This Row],[Código]])</f>
        <v>0</v>
      </c>
      <c r="L359" s="16">
        <f>Artículos[[#This Row],[Existencias iniciales]]+Artículos[[#This Row],[Entradas]]-Artículos[[#This Row],[Salidas]]</f>
        <v>0</v>
      </c>
      <c r="M359" s="16"/>
      <c r="N359" s="16"/>
    </row>
    <row r="360" spans="1:14" ht="14.4" hidden="1" customHeight="1" x14ac:dyDescent="0.3">
      <c r="A360" s="29" t="s">
        <v>916</v>
      </c>
      <c r="B360" s="15"/>
      <c r="C360" s="16" t="e">
        <f>IF([2]!Artículos4[[#This Row],[Proveedor (código)]]="","",VLOOKUP([2]!Artículos4[[#This Row],[Proveedor (código)]],[2]Proveedores!A:B,2,FALSE))</f>
        <v>#REF!</v>
      </c>
      <c r="D360" s="29" t="s">
        <v>408</v>
      </c>
      <c r="E360" s="29" t="s">
        <v>76</v>
      </c>
      <c r="F360" s="51">
        <v>2.71</v>
      </c>
      <c r="G360" s="14"/>
      <c r="H360" s="14"/>
      <c r="I360" s="14">
        <v>77</v>
      </c>
      <c r="J360" s="16">
        <f>SUMIFS(Entradas!G:G,Entradas!E:E,Artículos[[#This Row],[Código]])</f>
        <v>31</v>
      </c>
      <c r="K360" s="16">
        <f>SUMIFS(Salidas!G:G,Salidas!E:E,Artículos[[#This Row],[Código]])</f>
        <v>66</v>
      </c>
      <c r="L360" s="16">
        <f>Artículos[[#This Row],[Existencias iniciales]]+Artículos[[#This Row],[Entradas]]-Artículos[[#This Row],[Salidas]]</f>
        <v>42</v>
      </c>
      <c r="M360" s="16"/>
      <c r="N360" s="16"/>
    </row>
    <row r="361" spans="1:14" ht="14.4" hidden="1" customHeight="1" x14ac:dyDescent="0.3">
      <c r="A361" s="29" t="s">
        <v>917</v>
      </c>
      <c r="B361" s="15"/>
      <c r="C361" s="16" t="e">
        <f>IF([2]!Artículos4[[#This Row],[Proveedor (código)]]="","",VLOOKUP([2]!Artículos4[[#This Row],[Proveedor (código)]],[2]Proveedores!A:B,2,FALSE))</f>
        <v>#REF!</v>
      </c>
      <c r="D361" s="29" t="s">
        <v>409</v>
      </c>
      <c r="E361" s="29" t="s">
        <v>76</v>
      </c>
      <c r="F361" s="51">
        <v>4.75</v>
      </c>
      <c r="G361" s="14"/>
      <c r="H361" s="14"/>
      <c r="I361" s="14">
        <v>51</v>
      </c>
      <c r="J361" s="16">
        <f>SUMIFS(Entradas!G:G,Entradas!E:E,Artículos[[#This Row],[Código]])</f>
        <v>65</v>
      </c>
      <c r="K361" s="16">
        <f>SUMIFS(Salidas!G:G,Salidas!E:E,Artículos[[#This Row],[Código]])</f>
        <v>15.5</v>
      </c>
      <c r="L361" s="16">
        <f>Artículos[[#This Row],[Existencias iniciales]]+Artículos[[#This Row],[Entradas]]-Artículos[[#This Row],[Salidas]]</f>
        <v>100.5</v>
      </c>
      <c r="M361" s="16"/>
      <c r="N361" s="16"/>
    </row>
    <row r="362" spans="1:14" ht="14.4" hidden="1" customHeight="1" x14ac:dyDescent="0.3">
      <c r="A362" s="29" t="s">
        <v>918</v>
      </c>
      <c r="B362" s="15"/>
      <c r="C362" s="16" t="e">
        <f>IF([2]!Artículos4[[#This Row],[Proveedor (código)]]="","",VLOOKUP([2]!Artículos4[[#This Row],[Proveedor (código)]],[2]Proveedores!A:B,2,FALSE))</f>
        <v>#REF!</v>
      </c>
      <c r="D362" s="29" t="s">
        <v>410</v>
      </c>
      <c r="E362" s="29" t="s">
        <v>76</v>
      </c>
      <c r="F362" s="51"/>
      <c r="G362" s="14"/>
      <c r="H362" s="14"/>
      <c r="I362" s="14"/>
      <c r="J362" s="16">
        <f>SUMIFS(Entradas!G:G,Entradas!E:E,Artículos[[#This Row],[Código]])</f>
        <v>0</v>
      </c>
      <c r="K362" s="16">
        <f>SUMIFS(Salidas!G:G,Salidas!E:E,Artículos[[#This Row],[Código]])</f>
        <v>0</v>
      </c>
      <c r="L362" s="16">
        <f>Artículos[[#This Row],[Existencias iniciales]]+Artículos[[#This Row],[Entradas]]-Artículos[[#This Row],[Salidas]]</f>
        <v>0</v>
      </c>
      <c r="M362" s="16"/>
      <c r="N362" s="16"/>
    </row>
    <row r="363" spans="1:14" ht="14.4" hidden="1" customHeight="1" x14ac:dyDescent="0.3">
      <c r="A363" s="29" t="s">
        <v>919</v>
      </c>
      <c r="B363" s="15"/>
      <c r="C363" s="16" t="e">
        <f>IF([2]!Artículos4[[#This Row],[Proveedor (código)]]="","",VLOOKUP([2]!Artículos4[[#This Row],[Proveedor (código)]],[2]Proveedores!A:B,2,FALSE))</f>
        <v>#REF!</v>
      </c>
      <c r="D363" s="29" t="s">
        <v>411</v>
      </c>
      <c r="E363" s="29" t="s">
        <v>76</v>
      </c>
      <c r="F363" s="51">
        <v>2.58</v>
      </c>
      <c r="G363" s="14"/>
      <c r="H363" s="14"/>
      <c r="I363" s="14">
        <v>184</v>
      </c>
      <c r="J363" s="16">
        <f>SUMIFS(Entradas!G:G,Entradas!E:E,Artículos[[#This Row],[Código]])</f>
        <v>81</v>
      </c>
      <c r="K363" s="16">
        <f>SUMIFS(Salidas!G:G,Salidas!E:E,Artículos[[#This Row],[Código]])</f>
        <v>38</v>
      </c>
      <c r="L363" s="16">
        <f>Artículos[[#This Row],[Existencias iniciales]]+Artículos[[#This Row],[Entradas]]-Artículos[[#This Row],[Salidas]]</f>
        <v>227</v>
      </c>
      <c r="M363" s="16"/>
      <c r="N363" s="16"/>
    </row>
    <row r="364" spans="1:14" ht="14.4" hidden="1" customHeight="1" x14ac:dyDescent="0.3">
      <c r="A364" s="29" t="s">
        <v>920</v>
      </c>
      <c r="B364" s="15"/>
      <c r="C364" s="16" t="e">
        <f>IF([2]!Artículos4[[#This Row],[Proveedor (código)]]="","",VLOOKUP([2]!Artículos4[[#This Row],[Proveedor (código)]],[2]Proveedores!A:B,2,FALSE))</f>
        <v>#REF!</v>
      </c>
      <c r="D364" s="29" t="s">
        <v>412</v>
      </c>
      <c r="E364" s="29" t="s">
        <v>76</v>
      </c>
      <c r="F364" s="51"/>
      <c r="G364" s="14"/>
      <c r="H364" s="14"/>
      <c r="I364" s="14"/>
      <c r="J364" s="16">
        <f>SUMIFS(Entradas!G:G,Entradas!E:E,Artículos[[#This Row],[Código]])</f>
        <v>6</v>
      </c>
      <c r="K364" s="16">
        <f>SUMIFS(Salidas!G:G,Salidas!E:E,Artículos[[#This Row],[Código]])</f>
        <v>1</v>
      </c>
      <c r="L364" s="16">
        <f>Artículos[[#This Row],[Existencias iniciales]]+Artículos[[#This Row],[Entradas]]-Artículos[[#This Row],[Salidas]]</f>
        <v>5</v>
      </c>
      <c r="M364" s="16"/>
      <c r="N364" s="16"/>
    </row>
    <row r="365" spans="1:14" ht="14.4" hidden="1" customHeight="1" x14ac:dyDescent="0.3">
      <c r="A365" s="29" t="s">
        <v>921</v>
      </c>
      <c r="B365" s="15"/>
      <c r="C365" s="16" t="e">
        <f>IF([2]!Artículos4[[#This Row],[Proveedor (código)]]="","",VLOOKUP([2]!Artículos4[[#This Row],[Proveedor (código)]],[2]Proveedores!A:B,2,FALSE))</f>
        <v>#REF!</v>
      </c>
      <c r="D365" s="29" t="s">
        <v>413</v>
      </c>
      <c r="E365" s="29" t="s">
        <v>76</v>
      </c>
      <c r="F365" s="51"/>
      <c r="G365" s="14"/>
      <c r="H365" s="14"/>
      <c r="I365" s="14"/>
      <c r="J365" s="16">
        <f>SUMIFS(Entradas!G:G,Entradas!E:E,Artículos[[#This Row],[Código]])</f>
        <v>0</v>
      </c>
      <c r="K365" s="16">
        <f>SUMIFS(Salidas!G:G,Salidas!E:E,Artículos[[#This Row],[Código]])</f>
        <v>0</v>
      </c>
      <c r="L365" s="16">
        <f>Artículos[[#This Row],[Existencias iniciales]]+Artículos[[#This Row],[Entradas]]-Artículos[[#This Row],[Salidas]]</f>
        <v>0</v>
      </c>
      <c r="M365" s="16"/>
      <c r="N365" s="16"/>
    </row>
    <row r="366" spans="1:14" ht="14.4" hidden="1" customHeight="1" x14ac:dyDescent="0.3">
      <c r="A366" s="29" t="s">
        <v>922</v>
      </c>
      <c r="B366" s="15"/>
      <c r="C366" s="16" t="e">
        <f>IF([2]!Artículos4[[#This Row],[Proveedor (código)]]="","",VLOOKUP([2]!Artículos4[[#This Row],[Proveedor (código)]],[2]Proveedores!A:B,2,FALSE))</f>
        <v>#REF!</v>
      </c>
      <c r="D366" s="29" t="s">
        <v>414</v>
      </c>
      <c r="E366" s="29" t="s">
        <v>76</v>
      </c>
      <c r="F366" s="51"/>
      <c r="G366" s="14"/>
      <c r="H366" s="14"/>
      <c r="I366" s="14">
        <v>4</v>
      </c>
      <c r="J366" s="16">
        <f>SUMIFS(Entradas!G:G,Entradas!E:E,Artículos[[#This Row],[Código]])</f>
        <v>0</v>
      </c>
      <c r="K366" s="16">
        <f>SUMIFS(Salidas!G:G,Salidas!E:E,Artículos[[#This Row],[Código]])</f>
        <v>0</v>
      </c>
      <c r="L366" s="16">
        <f>Artículos[[#This Row],[Existencias iniciales]]+Artículos[[#This Row],[Entradas]]-Artículos[[#This Row],[Salidas]]</f>
        <v>4</v>
      </c>
      <c r="M366" s="16"/>
      <c r="N366" s="16"/>
    </row>
    <row r="367" spans="1:14" ht="14.4" hidden="1" customHeight="1" x14ac:dyDescent="0.3">
      <c r="A367" s="29" t="s">
        <v>1393</v>
      </c>
      <c r="B367" s="15"/>
      <c r="C367" s="16" t="e">
        <f>IF([2]!Artículos4[[#This Row],[Proveedor (código)]]="","",VLOOKUP([2]!Artículos4[[#This Row],[Proveedor (código)]],[2]Proveedores!A:B,2,FALSE))</f>
        <v>#REF!</v>
      </c>
      <c r="D367" s="29" t="s">
        <v>415</v>
      </c>
      <c r="E367" s="29" t="s">
        <v>76</v>
      </c>
      <c r="F367" s="51">
        <v>2.06</v>
      </c>
      <c r="G367" s="14"/>
      <c r="H367" s="14"/>
      <c r="I367" s="14">
        <v>45</v>
      </c>
      <c r="J367" s="16">
        <f>SUMIFS(Entradas!G:G,Entradas!E:E,Artículos[[#This Row],[Código]])</f>
        <v>0</v>
      </c>
      <c r="K367" s="16">
        <f>SUMIFS(Salidas!G:G,Salidas!E:E,Artículos[[#This Row],[Código]])</f>
        <v>0</v>
      </c>
      <c r="L367" s="16">
        <f>Artículos[[#This Row],[Existencias iniciales]]+Artículos[[#This Row],[Entradas]]-Artículos[[#This Row],[Salidas]]</f>
        <v>45</v>
      </c>
      <c r="M367" s="16"/>
      <c r="N367" s="16"/>
    </row>
    <row r="368" spans="1:14" ht="14.4" hidden="1" customHeight="1" x14ac:dyDescent="0.3">
      <c r="A368" s="29" t="s">
        <v>924</v>
      </c>
      <c r="B368" s="15"/>
      <c r="C368" s="16" t="e">
        <f>IF([2]!Artículos4[[#This Row],[Proveedor (código)]]="","",VLOOKUP([2]!Artículos4[[#This Row],[Proveedor (código)]],[2]Proveedores!A:B,2,FALSE))</f>
        <v>#REF!</v>
      </c>
      <c r="D368" s="29" t="s">
        <v>416</v>
      </c>
      <c r="E368" s="29" t="s">
        <v>76</v>
      </c>
      <c r="F368" s="51"/>
      <c r="G368" s="14"/>
      <c r="H368" s="14"/>
      <c r="I368" s="14"/>
      <c r="J368" s="16">
        <f>SUMIFS(Entradas!G:G,Entradas!E:E,Artículos[[#This Row],[Código]])</f>
        <v>0</v>
      </c>
      <c r="K368" s="16">
        <f>SUMIFS(Salidas!G:G,Salidas!E:E,Artículos[[#This Row],[Código]])</f>
        <v>0</v>
      </c>
      <c r="L368" s="16">
        <f>Artículos[[#This Row],[Existencias iniciales]]+Artículos[[#This Row],[Entradas]]-Artículos[[#This Row],[Salidas]]</f>
        <v>0</v>
      </c>
      <c r="M368" s="16"/>
      <c r="N368" s="16"/>
    </row>
    <row r="369" spans="1:14" ht="14.4" hidden="1" customHeight="1" x14ac:dyDescent="0.3">
      <c r="A369" s="29" t="s">
        <v>925</v>
      </c>
      <c r="B369" s="15"/>
      <c r="C369" s="16" t="e">
        <f>IF([2]!Artículos4[[#This Row],[Proveedor (código)]]="","",VLOOKUP([2]!Artículos4[[#This Row],[Proveedor (código)]],[2]Proveedores!A:B,2,FALSE))</f>
        <v>#REF!</v>
      </c>
      <c r="D369" s="29" t="s">
        <v>1389</v>
      </c>
      <c r="E369" s="29" t="s">
        <v>76</v>
      </c>
      <c r="F369" s="51">
        <v>6.36</v>
      </c>
      <c r="G369" s="14"/>
      <c r="H369" s="14"/>
      <c r="I369" s="14"/>
      <c r="J369" s="16">
        <f>SUMIFS(Entradas!G:G,Entradas!E:E,Artículos[[#This Row],[Código]])</f>
        <v>6</v>
      </c>
      <c r="K369" s="16">
        <f>SUMIFS(Salidas!G:G,Salidas!E:E,Artículos[[#This Row],[Código]])</f>
        <v>0</v>
      </c>
      <c r="L369" s="16">
        <f>Artículos[[#This Row],[Existencias iniciales]]+Artículos[[#This Row],[Entradas]]-Artículos[[#This Row],[Salidas]]</f>
        <v>6</v>
      </c>
      <c r="M369" s="16"/>
      <c r="N369" s="16"/>
    </row>
    <row r="370" spans="1:14" ht="14.4" hidden="1" customHeight="1" x14ac:dyDescent="0.3">
      <c r="A370" s="29" t="s">
        <v>926</v>
      </c>
      <c r="B370" s="15"/>
      <c r="C370" s="16" t="e">
        <f>IF([2]!Artículos4[[#This Row],[Proveedor (código)]]="","",VLOOKUP([2]!Artículos4[[#This Row],[Proveedor (código)]],[2]Proveedores!A:B,2,FALSE))</f>
        <v>#REF!</v>
      </c>
      <c r="D370" s="29" t="s">
        <v>418</v>
      </c>
      <c r="E370" s="29" t="s">
        <v>76</v>
      </c>
      <c r="F370" s="51"/>
      <c r="G370" s="14"/>
      <c r="H370" s="14"/>
      <c r="I370" s="14"/>
      <c r="J370" s="16">
        <f>SUMIFS(Entradas!G:G,Entradas!E:E,Artículos[[#This Row],[Código]])</f>
        <v>0</v>
      </c>
      <c r="K370" s="16">
        <f>SUMIFS(Salidas!G:G,Salidas!E:E,Artículos[[#This Row],[Código]])</f>
        <v>0</v>
      </c>
      <c r="L370" s="16">
        <f>Artículos[[#This Row],[Existencias iniciales]]+Artículos[[#This Row],[Entradas]]-Artículos[[#This Row],[Salidas]]</f>
        <v>0</v>
      </c>
      <c r="M370" s="16"/>
      <c r="N370" s="16"/>
    </row>
    <row r="371" spans="1:14" ht="14.4" hidden="1" customHeight="1" x14ac:dyDescent="0.3">
      <c r="A371" s="29" t="s">
        <v>927</v>
      </c>
      <c r="B371" s="15"/>
      <c r="C371" s="16" t="e">
        <f>IF([2]!Artículos4[[#This Row],[Proveedor (código)]]="","",VLOOKUP([2]!Artículos4[[#This Row],[Proveedor (código)]],[2]Proveedores!A:B,2,FALSE))</f>
        <v>#REF!</v>
      </c>
      <c r="D371" s="29" t="s">
        <v>419</v>
      </c>
      <c r="E371" s="29" t="s">
        <v>76</v>
      </c>
      <c r="F371" s="51"/>
      <c r="G371" s="14"/>
      <c r="H371" s="14"/>
      <c r="I371" s="14"/>
      <c r="J371" s="16">
        <f>SUMIFS(Entradas!G:G,Entradas!E:E,Artículos[[#This Row],[Código]])</f>
        <v>0</v>
      </c>
      <c r="K371" s="16">
        <f>SUMIFS(Salidas!G:G,Salidas!E:E,Artículos[[#This Row],[Código]])</f>
        <v>0</v>
      </c>
      <c r="L371" s="16">
        <f>Artículos[[#This Row],[Existencias iniciales]]+Artículos[[#This Row],[Entradas]]-Artículos[[#This Row],[Salidas]]</f>
        <v>0</v>
      </c>
      <c r="M371" s="16"/>
      <c r="N371" s="16"/>
    </row>
    <row r="372" spans="1:14" ht="14.4" hidden="1" customHeight="1" x14ac:dyDescent="0.3">
      <c r="A372" s="29" t="s">
        <v>928</v>
      </c>
      <c r="B372" s="15"/>
      <c r="C372" s="16" t="e">
        <f>IF([2]!Artículos4[[#This Row],[Proveedor (código)]]="","",VLOOKUP([2]!Artículos4[[#This Row],[Proveedor (código)]],[2]Proveedores!A:B,2,FALSE))</f>
        <v>#REF!</v>
      </c>
      <c r="D372" s="29" t="s">
        <v>420</v>
      </c>
      <c r="E372" s="29" t="s">
        <v>76</v>
      </c>
      <c r="F372" s="51"/>
      <c r="G372" s="14"/>
      <c r="H372" s="14"/>
      <c r="I372" s="14"/>
      <c r="J372" s="16">
        <f>SUMIFS(Entradas!G:G,Entradas!E:E,Artículos[[#This Row],[Código]])</f>
        <v>0</v>
      </c>
      <c r="K372" s="16">
        <f>SUMIFS(Salidas!G:G,Salidas!E:E,Artículos[[#This Row],[Código]])</f>
        <v>0</v>
      </c>
      <c r="L372" s="16">
        <f>Artículos[[#This Row],[Existencias iniciales]]+Artículos[[#This Row],[Entradas]]-Artículos[[#This Row],[Salidas]]</f>
        <v>0</v>
      </c>
      <c r="M372" s="16"/>
      <c r="N372" s="16"/>
    </row>
    <row r="373" spans="1:14" ht="14.4" hidden="1" customHeight="1" x14ac:dyDescent="0.3">
      <c r="A373" s="29" t="s">
        <v>929</v>
      </c>
      <c r="B373" s="15"/>
      <c r="C373" s="16" t="e">
        <f>IF([2]!Artículos4[[#This Row],[Proveedor (código)]]="","",VLOOKUP([2]!Artículos4[[#This Row],[Proveedor (código)]],[2]Proveedores!A:B,2,FALSE))</f>
        <v>#REF!</v>
      </c>
      <c r="D373" s="29" t="s">
        <v>421</v>
      </c>
      <c r="E373" s="29" t="s">
        <v>76</v>
      </c>
      <c r="F373" s="51"/>
      <c r="G373" s="14"/>
      <c r="H373" s="14"/>
      <c r="I373" s="14"/>
      <c r="J373" s="16">
        <f>SUMIFS(Entradas!G:G,Entradas!E:E,Artículos[[#This Row],[Código]])</f>
        <v>0</v>
      </c>
      <c r="K373" s="16">
        <f>SUMIFS(Salidas!G:G,Salidas!E:E,Artículos[[#This Row],[Código]])</f>
        <v>0</v>
      </c>
      <c r="L373" s="16">
        <f>Artículos[[#This Row],[Existencias iniciales]]+Artículos[[#This Row],[Entradas]]-Artículos[[#This Row],[Salidas]]</f>
        <v>0</v>
      </c>
      <c r="M373" s="16"/>
      <c r="N373" s="16"/>
    </row>
    <row r="374" spans="1:14" ht="14.4" hidden="1" customHeight="1" x14ac:dyDescent="0.3">
      <c r="A374" s="29" t="s">
        <v>930</v>
      </c>
      <c r="B374" s="15"/>
      <c r="C374" s="16" t="e">
        <f>IF([2]!Artículos4[[#This Row],[Proveedor (código)]]="","",VLOOKUP([2]!Artículos4[[#This Row],[Proveedor (código)]],[2]Proveedores!A:B,2,FALSE))</f>
        <v>#REF!</v>
      </c>
      <c r="D374" s="29" t="s">
        <v>422</v>
      </c>
      <c r="E374" s="29" t="s">
        <v>76</v>
      </c>
      <c r="F374" s="51"/>
      <c r="G374" s="14"/>
      <c r="H374" s="14"/>
      <c r="I374" s="14">
        <v>1</v>
      </c>
      <c r="J374" s="16">
        <f>SUMIFS(Entradas!G:G,Entradas!E:E,Artículos[[#This Row],[Código]])</f>
        <v>0</v>
      </c>
      <c r="K374" s="16">
        <f>SUMIFS(Salidas!G:G,Salidas!E:E,Artículos[[#This Row],[Código]])</f>
        <v>0</v>
      </c>
      <c r="L374" s="16">
        <f>Artículos[[#This Row],[Existencias iniciales]]+Artículos[[#This Row],[Entradas]]-Artículos[[#This Row],[Salidas]]</f>
        <v>1</v>
      </c>
      <c r="M374" s="16"/>
      <c r="N374" s="16"/>
    </row>
    <row r="375" spans="1:14" ht="14.4" hidden="1" customHeight="1" x14ac:dyDescent="0.3">
      <c r="A375" s="29" t="s">
        <v>931</v>
      </c>
      <c r="B375" s="15"/>
      <c r="C375" s="16" t="e">
        <f>IF([2]!Artículos4[[#This Row],[Proveedor (código)]]="","",VLOOKUP([2]!Artículos4[[#This Row],[Proveedor (código)]],[2]Proveedores!A:B,2,FALSE))</f>
        <v>#REF!</v>
      </c>
      <c r="D375" s="29"/>
      <c r="E375" s="29" t="s">
        <v>76</v>
      </c>
      <c r="F375" s="51"/>
      <c r="G375" s="14"/>
      <c r="H375" s="14"/>
      <c r="I375" s="14"/>
      <c r="J375" s="16">
        <f>SUMIFS(Entradas!G:G,Entradas!E:E,Artículos[[#This Row],[Código]])</f>
        <v>0</v>
      </c>
      <c r="K375" s="16">
        <f>SUMIFS(Salidas!G:G,Salidas!E:E,Artículos[[#This Row],[Código]])</f>
        <v>0</v>
      </c>
      <c r="L375" s="16">
        <f>Artículos[[#This Row],[Existencias iniciales]]+Artículos[[#This Row],[Entradas]]-Artículos[[#This Row],[Salidas]]</f>
        <v>0</v>
      </c>
      <c r="M375" s="16"/>
      <c r="N375" s="16"/>
    </row>
    <row r="376" spans="1:14" ht="14.4" hidden="1" customHeight="1" x14ac:dyDescent="0.3">
      <c r="A376" s="29" t="s">
        <v>932</v>
      </c>
      <c r="B376" s="15"/>
      <c r="C376" s="16" t="e">
        <f>IF([2]!Artículos4[[#This Row],[Proveedor (código)]]="","",VLOOKUP([2]!Artículos4[[#This Row],[Proveedor (código)]],[2]Proveedores!A:B,2,FALSE))</f>
        <v>#REF!</v>
      </c>
      <c r="D376" s="29"/>
      <c r="E376" s="29" t="s">
        <v>76</v>
      </c>
      <c r="F376" s="51"/>
      <c r="G376" s="14"/>
      <c r="H376" s="14"/>
      <c r="I376" s="14"/>
      <c r="J376" s="16">
        <f>SUMIFS(Entradas!G:G,Entradas!E:E,Artículos[[#This Row],[Código]])</f>
        <v>0</v>
      </c>
      <c r="K376" s="16">
        <f>SUMIFS(Salidas!G:G,Salidas!E:E,Artículos[[#This Row],[Código]])</f>
        <v>0</v>
      </c>
      <c r="L376" s="16">
        <f>Artículos[[#This Row],[Existencias iniciales]]+Artículos[[#This Row],[Entradas]]-Artículos[[#This Row],[Salidas]]</f>
        <v>0</v>
      </c>
      <c r="M376" s="16"/>
      <c r="N376" s="16"/>
    </row>
    <row r="377" spans="1:14" ht="14.4" hidden="1" customHeight="1" x14ac:dyDescent="0.3">
      <c r="A377" s="29" t="s">
        <v>933</v>
      </c>
      <c r="B377" s="15"/>
      <c r="C377" s="16" t="e">
        <f>IF([2]!Artículos4[[#This Row],[Proveedor (código)]]="","",VLOOKUP([2]!Artículos4[[#This Row],[Proveedor (código)]],[2]Proveedores!A:B,2,FALSE))</f>
        <v>#REF!</v>
      </c>
      <c r="D377" s="29"/>
      <c r="E377" s="29" t="s">
        <v>76</v>
      </c>
      <c r="F377" s="51"/>
      <c r="G377" s="14"/>
      <c r="H377" s="14"/>
      <c r="I377" s="14"/>
      <c r="J377" s="16">
        <f>SUMIFS(Entradas!G:G,Entradas!E:E,Artículos[[#This Row],[Código]])</f>
        <v>0</v>
      </c>
      <c r="K377" s="16">
        <f>SUMIFS(Salidas!G:G,Salidas!E:E,Artículos[[#This Row],[Código]])</f>
        <v>0</v>
      </c>
      <c r="L377" s="16">
        <f>Artículos[[#This Row],[Existencias iniciales]]+Artículos[[#This Row],[Entradas]]-Artículos[[#This Row],[Salidas]]</f>
        <v>0</v>
      </c>
      <c r="M377" s="16"/>
      <c r="N377" s="16"/>
    </row>
    <row r="378" spans="1:14" ht="14.4" hidden="1" customHeight="1" x14ac:dyDescent="0.3">
      <c r="A378" s="29" t="s">
        <v>934</v>
      </c>
      <c r="B378" s="15"/>
      <c r="C378" s="16" t="e">
        <f>IF([2]!Artículos4[[#This Row],[Proveedor (código)]]="","",VLOOKUP([2]!Artículos4[[#This Row],[Proveedor (código)]],[2]Proveedores!A:B,2,FALSE))</f>
        <v>#REF!</v>
      </c>
      <c r="D378" s="29"/>
      <c r="E378" s="29" t="s">
        <v>76</v>
      </c>
      <c r="F378" s="51"/>
      <c r="G378" s="14"/>
      <c r="H378" s="14"/>
      <c r="I378" s="14"/>
      <c r="J378" s="16">
        <f>SUMIFS(Entradas!G:G,Entradas!E:E,Artículos[[#This Row],[Código]])</f>
        <v>0</v>
      </c>
      <c r="K378" s="16">
        <f>SUMIFS(Salidas!G:G,Salidas!E:E,Artículos[[#This Row],[Código]])</f>
        <v>0</v>
      </c>
      <c r="L378" s="16">
        <f>Artículos[[#This Row],[Existencias iniciales]]+Artículos[[#This Row],[Entradas]]-Artículos[[#This Row],[Salidas]]</f>
        <v>0</v>
      </c>
      <c r="M378" s="16"/>
      <c r="N378" s="16"/>
    </row>
    <row r="379" spans="1:14" ht="14.4" hidden="1" customHeight="1" x14ac:dyDescent="0.3">
      <c r="A379" s="29" t="s">
        <v>714</v>
      </c>
      <c r="B379" s="15"/>
      <c r="C379" s="16" t="e">
        <f>IF([2]!Artículos4[[#This Row],[Proveedor (código)]]="","",VLOOKUP([2]!Artículos4[[#This Row],[Proveedor (código)]],[2]Proveedores!A:B,2,FALSE))</f>
        <v>#REF!</v>
      </c>
      <c r="D379" s="29" t="s">
        <v>423</v>
      </c>
      <c r="E379" s="29" t="s">
        <v>57</v>
      </c>
      <c r="F379" s="51"/>
      <c r="G379" s="14"/>
      <c r="H379" s="14"/>
      <c r="I379" s="14">
        <v>7</v>
      </c>
      <c r="J379" s="16">
        <f>SUMIFS(Entradas!G:G,Entradas!E:E,Artículos[[#This Row],[Código]])</f>
        <v>1</v>
      </c>
      <c r="K379" s="16">
        <f>SUMIFS(Salidas!G:G,Salidas!E:E,Artículos[[#This Row],[Código]])</f>
        <v>0</v>
      </c>
      <c r="L379" s="16">
        <f>Artículos[[#This Row],[Existencias iniciales]]+Artículos[[#This Row],[Entradas]]-Artículos[[#This Row],[Salidas]]</f>
        <v>8</v>
      </c>
      <c r="M379" s="16"/>
      <c r="N379" s="16"/>
    </row>
    <row r="380" spans="1:14" ht="14.4" hidden="1" customHeight="1" x14ac:dyDescent="0.3">
      <c r="A380" s="29" t="s">
        <v>715</v>
      </c>
      <c r="B380" s="15"/>
      <c r="C380" s="16" t="e">
        <f>IF([2]!Artículos4[[#This Row],[Proveedor (código)]]="","",VLOOKUP([2]!Artículos4[[#This Row],[Proveedor (código)]],[2]Proveedores!A:B,2,FALSE))</f>
        <v>#REF!</v>
      </c>
      <c r="D380" s="29" t="s">
        <v>424</v>
      </c>
      <c r="E380" s="29" t="s">
        <v>57</v>
      </c>
      <c r="F380" s="51"/>
      <c r="G380" s="14"/>
      <c r="H380" s="14"/>
      <c r="I380" s="14">
        <v>8</v>
      </c>
      <c r="J380" s="16">
        <f>SUMIFS(Entradas!G:G,Entradas!E:E,Artículos[[#This Row],[Código]])</f>
        <v>0</v>
      </c>
      <c r="K380" s="16">
        <f>SUMIFS(Salidas!G:G,Salidas!E:E,Artículos[[#This Row],[Código]])</f>
        <v>0</v>
      </c>
      <c r="L380" s="16">
        <f>Artículos[[#This Row],[Existencias iniciales]]+Artículos[[#This Row],[Entradas]]-Artículos[[#This Row],[Salidas]]</f>
        <v>8</v>
      </c>
      <c r="M380" s="16"/>
      <c r="N380" s="16"/>
    </row>
    <row r="381" spans="1:14" ht="14.4" hidden="1" customHeight="1" x14ac:dyDescent="0.3">
      <c r="A381" s="29" t="s">
        <v>998</v>
      </c>
      <c r="B381" s="15"/>
      <c r="C381" s="16" t="e">
        <f>IF([2]!Artículos4[[#This Row],[Proveedor (código)]]="","",VLOOKUP([2]!Artículos4[[#This Row],[Proveedor (código)]],[2]Proveedores!A:B,2,FALSE))</f>
        <v>#REF!</v>
      </c>
      <c r="D381" s="29" t="s">
        <v>425</v>
      </c>
      <c r="E381" s="29" t="s">
        <v>57</v>
      </c>
      <c r="F381" s="51"/>
      <c r="G381" s="14"/>
      <c r="H381" s="14"/>
      <c r="I381" s="14"/>
      <c r="J381" s="16">
        <f>SUMIFS(Entradas!G:G,Entradas!E:E,Artículos[[#This Row],[Código]])</f>
        <v>0</v>
      </c>
      <c r="K381" s="16">
        <f>SUMIFS(Salidas!G:G,Salidas!E:E,Artículos[[#This Row],[Código]])</f>
        <v>0</v>
      </c>
      <c r="L381" s="16">
        <f>Artículos[[#This Row],[Existencias iniciales]]+Artículos[[#This Row],[Entradas]]-Artículos[[#This Row],[Salidas]]</f>
        <v>0</v>
      </c>
      <c r="M381" s="16"/>
      <c r="N381" s="16"/>
    </row>
    <row r="382" spans="1:14" hidden="1" x14ac:dyDescent="0.3">
      <c r="A382" s="29" t="s">
        <v>999</v>
      </c>
      <c r="B382" s="15"/>
      <c r="C382" s="16" t="e">
        <f>IF([2]!Artículos4[[#This Row],[Proveedor (código)]]="","",VLOOKUP([2]!Artículos4[[#This Row],[Proveedor (código)]],[2]Proveedores!A:B,2,FALSE))</f>
        <v>#REF!</v>
      </c>
      <c r="D382" s="29" t="s">
        <v>426</v>
      </c>
      <c r="E382" s="29" t="s">
        <v>57</v>
      </c>
      <c r="F382" s="51"/>
      <c r="G382" s="14"/>
      <c r="H382" s="14"/>
      <c r="I382" s="14">
        <v>1</v>
      </c>
      <c r="J382" s="16">
        <f>SUMIFS(Entradas!G:G,Entradas!E:E,Artículos[[#This Row],[Código]])</f>
        <v>0</v>
      </c>
      <c r="K382" s="16">
        <f>SUMIFS(Salidas!G:G,Salidas!E:E,Artículos[[#This Row],[Código]])</f>
        <v>0</v>
      </c>
      <c r="L382" s="16">
        <f>Artículos[[#This Row],[Existencias iniciales]]+Artículos[[#This Row],[Entradas]]-Artículos[[#This Row],[Salidas]]</f>
        <v>1</v>
      </c>
      <c r="M382" s="16"/>
      <c r="N382" s="16"/>
    </row>
    <row r="383" spans="1:14" hidden="1" x14ac:dyDescent="0.3">
      <c r="A383" s="29" t="s">
        <v>1000</v>
      </c>
      <c r="B383" s="15"/>
      <c r="C383" s="16" t="e">
        <f>IF([2]!Artículos4[[#This Row],[Proveedor (código)]]="","",VLOOKUP([2]!Artículos4[[#This Row],[Proveedor (código)]],[2]Proveedores!A:B,2,FALSE))</f>
        <v>#REF!</v>
      </c>
      <c r="D383" s="29" t="s">
        <v>427</v>
      </c>
      <c r="E383" s="29" t="s">
        <v>57</v>
      </c>
      <c r="F383" s="51"/>
      <c r="G383" s="14"/>
      <c r="H383" s="14"/>
      <c r="I383" s="14">
        <v>9</v>
      </c>
      <c r="J383" s="16">
        <f>SUMIFS(Entradas!G:G,Entradas!E:E,Artículos[[#This Row],[Código]])</f>
        <v>0</v>
      </c>
      <c r="K383" s="16">
        <f>SUMIFS(Salidas!G:G,Salidas!E:E,Artículos[[#This Row],[Código]])</f>
        <v>0</v>
      </c>
      <c r="L383" s="16">
        <f>Artículos[[#This Row],[Existencias iniciales]]+Artículos[[#This Row],[Entradas]]-Artículos[[#This Row],[Salidas]]</f>
        <v>9</v>
      </c>
      <c r="M383" s="16"/>
      <c r="N383" s="16"/>
    </row>
    <row r="384" spans="1:14" hidden="1" x14ac:dyDescent="0.3">
      <c r="A384" s="29" t="s">
        <v>1001</v>
      </c>
      <c r="B384" s="15"/>
      <c r="C384" s="16" t="e">
        <f>IF([2]!Artículos4[[#This Row],[Proveedor (código)]]="","",VLOOKUP([2]!Artículos4[[#This Row],[Proveedor (código)]],[2]Proveedores!A:B,2,FALSE))</f>
        <v>#REF!</v>
      </c>
      <c r="D384" s="29" t="s">
        <v>428</v>
      </c>
      <c r="E384" s="29" t="s">
        <v>57</v>
      </c>
      <c r="F384" s="51"/>
      <c r="G384" s="14"/>
      <c r="H384" s="14"/>
      <c r="I384" s="14">
        <v>3</v>
      </c>
      <c r="J384" s="16">
        <f>SUMIFS(Entradas!G:G,Entradas!E:E,Artículos[[#This Row],[Código]])</f>
        <v>0</v>
      </c>
      <c r="K384" s="16">
        <f>SUMIFS(Salidas!G:G,Salidas!E:E,Artículos[[#This Row],[Código]])</f>
        <v>0</v>
      </c>
      <c r="L384" s="16">
        <f>Artículos[[#This Row],[Existencias iniciales]]+Artículos[[#This Row],[Entradas]]-Artículos[[#This Row],[Salidas]]</f>
        <v>3</v>
      </c>
      <c r="M384" s="16"/>
      <c r="N384" s="16"/>
    </row>
    <row r="385" spans="1:14" hidden="1" x14ac:dyDescent="0.3">
      <c r="A385" s="29" t="s">
        <v>1002</v>
      </c>
      <c r="B385" s="15"/>
      <c r="C385" s="16" t="e">
        <f>IF([2]!Artículos4[[#This Row],[Proveedor (código)]]="","",VLOOKUP([2]!Artículos4[[#This Row],[Proveedor (código)]],[2]Proveedores!A:B,2,FALSE))</f>
        <v>#REF!</v>
      </c>
      <c r="D385" s="29" t="s">
        <v>429</v>
      </c>
      <c r="E385" s="29" t="s">
        <v>57</v>
      </c>
      <c r="F385" s="51"/>
      <c r="G385" s="14"/>
      <c r="H385" s="14"/>
      <c r="I385" s="14">
        <v>18</v>
      </c>
      <c r="J385" s="16">
        <f>SUMIFS(Entradas!G:G,Entradas!E:E,Artículos[[#This Row],[Código]])</f>
        <v>0</v>
      </c>
      <c r="K385" s="16">
        <f>SUMIFS(Salidas!G:G,Salidas!E:E,Artículos[[#This Row],[Código]])</f>
        <v>0</v>
      </c>
      <c r="L385" s="16">
        <f>Artículos[[#This Row],[Existencias iniciales]]+Artículos[[#This Row],[Entradas]]-Artículos[[#This Row],[Salidas]]</f>
        <v>18</v>
      </c>
      <c r="M385" s="16"/>
      <c r="N385" s="16"/>
    </row>
    <row r="386" spans="1:14" hidden="1" x14ac:dyDescent="0.3">
      <c r="A386" s="29" t="s">
        <v>1003</v>
      </c>
      <c r="B386" s="15"/>
      <c r="C386" s="16" t="e">
        <f>IF([2]!Artículos4[[#This Row],[Proveedor (código)]]="","",VLOOKUP([2]!Artículos4[[#This Row],[Proveedor (código)]],[2]Proveedores!A:B,2,FALSE))</f>
        <v>#REF!</v>
      </c>
      <c r="D386" s="29" t="s">
        <v>430</v>
      </c>
      <c r="E386" s="29" t="s">
        <v>57</v>
      </c>
      <c r="F386" s="51"/>
      <c r="G386" s="14"/>
      <c r="H386" s="14"/>
      <c r="I386" s="14">
        <v>11</v>
      </c>
      <c r="J386" s="16">
        <f>SUMIFS(Entradas!G:G,Entradas!E:E,Artículos[[#This Row],[Código]])</f>
        <v>0</v>
      </c>
      <c r="K386" s="16">
        <f>SUMIFS(Salidas!G:G,Salidas!E:E,Artículos[[#This Row],[Código]])</f>
        <v>0</v>
      </c>
      <c r="L386" s="16">
        <f>Artículos[[#This Row],[Existencias iniciales]]+Artículos[[#This Row],[Entradas]]-Artículos[[#This Row],[Salidas]]</f>
        <v>11</v>
      </c>
      <c r="M386" s="16"/>
      <c r="N386" s="16"/>
    </row>
    <row r="387" spans="1:14" hidden="1" x14ac:dyDescent="0.3">
      <c r="A387" s="29" t="s">
        <v>1004</v>
      </c>
      <c r="B387" s="15"/>
      <c r="C387" s="16" t="e">
        <f>IF([2]!Artículos4[[#This Row],[Proveedor (código)]]="","",VLOOKUP([2]!Artículos4[[#This Row],[Proveedor (código)]],[2]Proveedores!A:B,2,FALSE))</f>
        <v>#REF!</v>
      </c>
      <c r="D387" s="29" t="s">
        <v>431</v>
      </c>
      <c r="E387" s="29" t="s">
        <v>57</v>
      </c>
      <c r="F387" s="51">
        <v>2.35</v>
      </c>
      <c r="G387" s="14"/>
      <c r="H387" s="14"/>
      <c r="I387" s="14"/>
      <c r="J387" s="16">
        <f>SUMIFS(Entradas!G:G,Entradas!E:E,Artículos[[#This Row],[Código]])</f>
        <v>1</v>
      </c>
      <c r="K387" s="16">
        <f>SUMIFS(Salidas!G:G,Salidas!E:E,Artículos[[#This Row],[Código]])</f>
        <v>0</v>
      </c>
      <c r="L387" s="16">
        <f>Artículos[[#This Row],[Existencias iniciales]]+Artículos[[#This Row],[Entradas]]-Artículos[[#This Row],[Salidas]]</f>
        <v>1</v>
      </c>
      <c r="M387" s="16"/>
      <c r="N387" s="16"/>
    </row>
    <row r="388" spans="1:14" hidden="1" x14ac:dyDescent="0.3">
      <c r="A388" s="29" t="s">
        <v>1005</v>
      </c>
      <c r="B388" s="15"/>
      <c r="C388" s="16" t="e">
        <f>IF([2]!Artículos4[[#This Row],[Proveedor (código)]]="","",VLOOKUP([2]!Artículos4[[#This Row],[Proveedor (código)]],[2]Proveedores!A:B,2,FALSE))</f>
        <v>#REF!</v>
      </c>
      <c r="D388" s="29" t="s">
        <v>432</v>
      </c>
      <c r="E388" s="29" t="s">
        <v>57</v>
      </c>
      <c r="F388" s="51"/>
      <c r="G388" s="14"/>
      <c r="H388" s="14"/>
      <c r="I388" s="14">
        <v>7</v>
      </c>
      <c r="J388" s="16">
        <f>SUMIFS(Entradas!G:G,Entradas!E:E,Artículos[[#This Row],[Código]])</f>
        <v>0</v>
      </c>
      <c r="K388" s="16">
        <f>SUMIFS(Salidas!G:G,Salidas!E:E,Artículos[[#This Row],[Código]])</f>
        <v>0</v>
      </c>
      <c r="L388" s="16">
        <f>Artículos[[#This Row],[Existencias iniciales]]+Artículos[[#This Row],[Entradas]]-Artículos[[#This Row],[Salidas]]</f>
        <v>7</v>
      </c>
      <c r="M388" s="16"/>
      <c r="N388" s="16"/>
    </row>
    <row r="389" spans="1:14" hidden="1" x14ac:dyDescent="0.3">
      <c r="A389" s="29" t="s">
        <v>1006</v>
      </c>
      <c r="B389" s="15"/>
      <c r="C389" s="16" t="e">
        <f>IF([2]!Artículos4[[#This Row],[Proveedor (código)]]="","",VLOOKUP([2]!Artículos4[[#This Row],[Proveedor (código)]],[2]Proveedores!A:B,2,FALSE))</f>
        <v>#REF!</v>
      </c>
      <c r="D389" s="29" t="s">
        <v>433</v>
      </c>
      <c r="E389" s="29" t="s">
        <v>57</v>
      </c>
      <c r="F389" s="51">
        <v>8.01</v>
      </c>
      <c r="G389" s="14"/>
      <c r="H389" s="14"/>
      <c r="I389" s="14"/>
      <c r="J389" s="16">
        <f>SUMIFS(Entradas!G:G,Entradas!E:E,Artículos[[#This Row],[Código]])</f>
        <v>1</v>
      </c>
      <c r="K389" s="16">
        <f>SUMIFS(Salidas!G:G,Salidas!E:E,Artículos[[#This Row],[Código]])</f>
        <v>0</v>
      </c>
      <c r="L389" s="16">
        <f>Artículos[[#This Row],[Existencias iniciales]]+Artículos[[#This Row],[Entradas]]-Artículos[[#This Row],[Salidas]]</f>
        <v>1</v>
      </c>
      <c r="M389" s="16"/>
      <c r="N389" s="16"/>
    </row>
    <row r="390" spans="1:14" hidden="1" x14ac:dyDescent="0.3">
      <c r="A390" s="29" t="s">
        <v>1007</v>
      </c>
      <c r="B390" s="15"/>
      <c r="C390" s="16" t="e">
        <f>IF([2]!Artículos4[[#This Row],[Proveedor (código)]]="","",VLOOKUP([2]!Artículos4[[#This Row],[Proveedor (código)]],[2]Proveedores!A:B,2,FALSE))</f>
        <v>#REF!</v>
      </c>
      <c r="D390" s="29" t="s">
        <v>434</v>
      </c>
      <c r="E390" s="29" t="s">
        <v>57</v>
      </c>
      <c r="F390" s="51"/>
      <c r="G390" s="14"/>
      <c r="H390" s="14"/>
      <c r="I390" s="14"/>
      <c r="J390" s="16">
        <f>SUMIFS(Entradas!G:G,Entradas!E:E,Artículos[[#This Row],[Código]])</f>
        <v>0</v>
      </c>
      <c r="K390" s="16">
        <f>SUMIFS(Salidas!G:G,Salidas!E:E,Artículos[[#This Row],[Código]])</f>
        <v>0</v>
      </c>
      <c r="L390" s="16">
        <f>Artículos[[#This Row],[Existencias iniciales]]+Artículos[[#This Row],[Entradas]]-Artículos[[#This Row],[Salidas]]</f>
        <v>0</v>
      </c>
      <c r="M390" s="16"/>
      <c r="N390" s="16"/>
    </row>
    <row r="391" spans="1:14" hidden="1" x14ac:dyDescent="0.3">
      <c r="A391" s="29" t="s">
        <v>1008</v>
      </c>
      <c r="B391" s="15"/>
      <c r="C391" s="16" t="e">
        <f>IF([2]!Artículos4[[#This Row],[Proveedor (código)]]="","",VLOOKUP([2]!Artículos4[[#This Row],[Proveedor (código)]],[2]Proveedores!A:B,2,FALSE))</f>
        <v>#REF!</v>
      </c>
      <c r="D391" s="29" t="s">
        <v>435</v>
      </c>
      <c r="E391" s="29" t="s">
        <v>57</v>
      </c>
      <c r="F391" s="51"/>
      <c r="G391" s="14"/>
      <c r="H391" s="14"/>
      <c r="I391" s="14"/>
      <c r="J391" s="16">
        <f>SUMIFS(Entradas!G:G,Entradas!E:E,Artículos[[#This Row],[Código]])</f>
        <v>0</v>
      </c>
      <c r="K391" s="16">
        <f>SUMIFS(Salidas!G:G,Salidas!E:E,Artículos[[#This Row],[Código]])</f>
        <v>0</v>
      </c>
      <c r="L391" s="16">
        <f>Artículos[[#This Row],[Existencias iniciales]]+Artículos[[#This Row],[Entradas]]-Artículos[[#This Row],[Salidas]]</f>
        <v>0</v>
      </c>
      <c r="M391" s="16"/>
      <c r="N391" s="16"/>
    </row>
    <row r="392" spans="1:14" hidden="1" x14ac:dyDescent="0.3">
      <c r="A392" s="29" t="s">
        <v>1009</v>
      </c>
      <c r="B392" s="15"/>
      <c r="C392" s="16" t="e">
        <f>IF([2]!Artículos4[[#This Row],[Proveedor (código)]]="","",VLOOKUP([2]!Artículos4[[#This Row],[Proveedor (código)]],[2]Proveedores!A:B,2,FALSE))</f>
        <v>#REF!</v>
      </c>
      <c r="D392" s="29" t="s">
        <v>436</v>
      </c>
      <c r="E392" s="29" t="s">
        <v>57</v>
      </c>
      <c r="F392" s="51"/>
      <c r="G392" s="14"/>
      <c r="H392" s="14"/>
      <c r="I392" s="14">
        <v>1</v>
      </c>
      <c r="J392" s="16">
        <f>SUMIFS(Entradas!G:G,Entradas!E:E,Artículos[[#This Row],[Código]])</f>
        <v>0</v>
      </c>
      <c r="K392" s="16">
        <f>SUMIFS(Salidas!G:G,Salidas!E:E,Artículos[[#This Row],[Código]])</f>
        <v>0</v>
      </c>
      <c r="L392" s="16">
        <f>Artículos[[#This Row],[Existencias iniciales]]+Artículos[[#This Row],[Entradas]]-Artículos[[#This Row],[Salidas]]</f>
        <v>1</v>
      </c>
      <c r="M392" s="16"/>
      <c r="N392" s="16"/>
    </row>
    <row r="393" spans="1:14" hidden="1" x14ac:dyDescent="0.3">
      <c r="A393" s="29" t="s">
        <v>1010</v>
      </c>
      <c r="B393" s="15"/>
      <c r="C393" s="16" t="e">
        <f>IF([2]!Artículos4[[#This Row],[Proveedor (código)]]="","",VLOOKUP([2]!Artículos4[[#This Row],[Proveedor (código)]],[2]Proveedores!A:B,2,FALSE))</f>
        <v>#REF!</v>
      </c>
      <c r="D393" s="29" t="s">
        <v>437</v>
      </c>
      <c r="E393" s="29" t="s">
        <v>57</v>
      </c>
      <c r="F393" s="51"/>
      <c r="G393" s="14"/>
      <c r="H393" s="14"/>
      <c r="I393" s="14"/>
      <c r="J393" s="16">
        <f>SUMIFS(Entradas!G:G,Entradas!E:E,Artículos[[#This Row],[Código]])</f>
        <v>0</v>
      </c>
      <c r="K393" s="16">
        <f>SUMIFS(Salidas!G:G,Salidas!E:E,Artículos[[#This Row],[Código]])</f>
        <v>0</v>
      </c>
      <c r="L393" s="16">
        <f>Artículos[[#This Row],[Existencias iniciales]]+Artículos[[#This Row],[Entradas]]-Artículos[[#This Row],[Salidas]]</f>
        <v>0</v>
      </c>
      <c r="M393" s="16"/>
      <c r="N393" s="16"/>
    </row>
    <row r="394" spans="1:14" hidden="1" x14ac:dyDescent="0.3">
      <c r="A394" s="29" t="s">
        <v>1011</v>
      </c>
      <c r="B394" s="15"/>
      <c r="C394" s="16" t="e">
        <f>IF([2]!Artículos4[[#This Row],[Proveedor (código)]]="","",VLOOKUP([2]!Artículos4[[#This Row],[Proveedor (código)]],[2]Proveedores!A:B,2,FALSE))</f>
        <v>#REF!</v>
      </c>
      <c r="D394" s="29" t="s">
        <v>438</v>
      </c>
      <c r="E394" s="29" t="s">
        <v>57</v>
      </c>
      <c r="F394" s="51"/>
      <c r="G394" s="14"/>
      <c r="H394" s="14"/>
      <c r="I394" s="14"/>
      <c r="J394" s="16">
        <f>SUMIFS(Entradas!G:G,Entradas!E:E,Artículos[[#This Row],[Código]])</f>
        <v>0</v>
      </c>
      <c r="K394" s="16">
        <f>SUMIFS(Salidas!G:G,Salidas!E:E,Artículos[[#This Row],[Código]])</f>
        <v>0</v>
      </c>
      <c r="L394" s="16">
        <f>Artículos[[#This Row],[Existencias iniciales]]+Artículos[[#This Row],[Entradas]]-Artículos[[#This Row],[Salidas]]</f>
        <v>0</v>
      </c>
      <c r="M394" s="16"/>
      <c r="N394" s="16"/>
    </row>
    <row r="395" spans="1:14" hidden="1" x14ac:dyDescent="0.3">
      <c r="A395" s="29" t="s">
        <v>1012</v>
      </c>
      <c r="B395" s="15"/>
      <c r="C395" s="16" t="e">
        <f>IF([2]!Artículos4[[#This Row],[Proveedor (código)]]="","",VLOOKUP([2]!Artículos4[[#This Row],[Proveedor (código)]],[2]Proveedores!A:B,2,FALSE))</f>
        <v>#REF!</v>
      </c>
      <c r="D395" s="29" t="s">
        <v>439</v>
      </c>
      <c r="E395" s="29" t="s">
        <v>57</v>
      </c>
      <c r="F395" s="51"/>
      <c r="G395" s="14"/>
      <c r="H395" s="14"/>
      <c r="I395" s="14"/>
      <c r="J395" s="16">
        <f>SUMIFS(Entradas!G:G,Entradas!E:E,Artículos[[#This Row],[Código]])</f>
        <v>0</v>
      </c>
      <c r="K395" s="16">
        <f>SUMIFS(Salidas!G:G,Salidas!E:E,Artículos[[#This Row],[Código]])</f>
        <v>0</v>
      </c>
      <c r="L395" s="16">
        <f>Artículos[[#This Row],[Existencias iniciales]]+Artículos[[#This Row],[Entradas]]-Artículos[[#This Row],[Salidas]]</f>
        <v>0</v>
      </c>
      <c r="M395" s="16"/>
      <c r="N395" s="16"/>
    </row>
    <row r="396" spans="1:14" hidden="1" x14ac:dyDescent="0.3">
      <c r="A396" s="29" t="s">
        <v>1013</v>
      </c>
      <c r="B396" s="15"/>
      <c r="C396" s="16" t="e">
        <f>IF([2]!Artículos4[[#This Row],[Proveedor (código)]]="","",VLOOKUP([2]!Artículos4[[#This Row],[Proveedor (código)]],[2]Proveedores!A:B,2,FALSE))</f>
        <v>#REF!</v>
      </c>
      <c r="D396" s="29" t="s">
        <v>440</v>
      </c>
      <c r="E396" s="29" t="s">
        <v>57</v>
      </c>
      <c r="F396" s="51"/>
      <c r="G396" s="14"/>
      <c r="H396" s="14"/>
      <c r="I396" s="14">
        <v>8</v>
      </c>
      <c r="J396" s="16">
        <f>SUMIFS(Entradas!G:G,Entradas!E:E,Artículos[[#This Row],[Código]])</f>
        <v>0</v>
      </c>
      <c r="K396" s="16">
        <f>SUMIFS(Salidas!G:G,Salidas!E:E,Artículos[[#This Row],[Código]])</f>
        <v>0</v>
      </c>
      <c r="L396" s="16">
        <f>Artículos[[#This Row],[Existencias iniciales]]+Artículos[[#This Row],[Entradas]]-Artículos[[#This Row],[Salidas]]</f>
        <v>8</v>
      </c>
      <c r="M396" s="16"/>
      <c r="N396" s="16"/>
    </row>
    <row r="397" spans="1:14" hidden="1" x14ac:dyDescent="0.3">
      <c r="A397" s="29" t="s">
        <v>1014</v>
      </c>
      <c r="B397" s="15"/>
      <c r="C397" s="16" t="e">
        <f>IF([2]!Artículos4[[#This Row],[Proveedor (código)]]="","",VLOOKUP([2]!Artículos4[[#This Row],[Proveedor (código)]],[2]Proveedores!A:B,2,FALSE))</f>
        <v>#REF!</v>
      </c>
      <c r="D397" s="29" t="s">
        <v>441</v>
      </c>
      <c r="E397" s="29" t="s">
        <v>57</v>
      </c>
      <c r="F397" s="51"/>
      <c r="G397" s="14"/>
      <c r="H397" s="14"/>
      <c r="I397" s="14">
        <v>6</v>
      </c>
      <c r="J397" s="16">
        <f>SUMIFS(Entradas!G:G,Entradas!E:E,Artículos[[#This Row],[Código]])</f>
        <v>0</v>
      </c>
      <c r="K397" s="16">
        <f>SUMIFS(Salidas!G:G,Salidas!E:E,Artículos[[#This Row],[Código]])</f>
        <v>0</v>
      </c>
      <c r="L397" s="16">
        <f>Artículos[[#This Row],[Existencias iniciales]]+Artículos[[#This Row],[Entradas]]-Artículos[[#This Row],[Salidas]]</f>
        <v>6</v>
      </c>
      <c r="M397" s="16"/>
      <c r="N397" s="16"/>
    </row>
    <row r="398" spans="1:14" hidden="1" x14ac:dyDescent="0.3">
      <c r="A398" s="29" t="s">
        <v>1015</v>
      </c>
      <c r="B398" s="15"/>
      <c r="C398" s="16" t="e">
        <f>IF([2]!Artículos4[[#This Row],[Proveedor (código)]]="","",VLOOKUP([2]!Artículos4[[#This Row],[Proveedor (código)]],[2]Proveedores!A:B,2,FALSE))</f>
        <v>#REF!</v>
      </c>
      <c r="D398" s="29" t="s">
        <v>442</v>
      </c>
      <c r="E398" s="29" t="s">
        <v>57</v>
      </c>
      <c r="F398" s="51"/>
      <c r="G398" s="14"/>
      <c r="H398" s="14"/>
      <c r="I398" s="14">
        <v>4</v>
      </c>
      <c r="J398" s="16">
        <f>SUMIFS(Entradas!G:G,Entradas!E:E,Artículos[[#This Row],[Código]])</f>
        <v>0</v>
      </c>
      <c r="K398" s="16">
        <f>SUMIFS(Salidas!G:G,Salidas!E:E,Artículos[[#This Row],[Código]])</f>
        <v>0</v>
      </c>
      <c r="L398" s="16">
        <f>Artículos[[#This Row],[Existencias iniciales]]+Artículos[[#This Row],[Entradas]]-Artículos[[#This Row],[Salidas]]</f>
        <v>4</v>
      </c>
      <c r="M398" s="16"/>
      <c r="N398" s="16"/>
    </row>
    <row r="399" spans="1:14" hidden="1" x14ac:dyDescent="0.3">
      <c r="A399" s="29" t="s">
        <v>1016</v>
      </c>
      <c r="B399" s="15"/>
      <c r="C399" s="16" t="e">
        <f>IF([2]!Artículos4[[#This Row],[Proveedor (código)]]="","",VLOOKUP([2]!Artículos4[[#This Row],[Proveedor (código)]],[2]Proveedores!A:B,2,FALSE))</f>
        <v>#REF!</v>
      </c>
      <c r="D399" s="29" t="s">
        <v>443</v>
      </c>
      <c r="E399" s="29" t="s">
        <v>57</v>
      </c>
      <c r="F399" s="51"/>
      <c r="G399" s="14"/>
      <c r="H399" s="14"/>
      <c r="I399" s="14"/>
      <c r="J399" s="16">
        <f>SUMIFS(Entradas!G:G,Entradas!E:E,Artículos[[#This Row],[Código]])</f>
        <v>0</v>
      </c>
      <c r="K399" s="16">
        <f>SUMIFS(Salidas!G:G,Salidas!E:E,Artículos[[#This Row],[Código]])</f>
        <v>0</v>
      </c>
      <c r="L399" s="16">
        <f>Artículos[[#This Row],[Existencias iniciales]]+Artículos[[#This Row],[Entradas]]-Artículos[[#This Row],[Salidas]]</f>
        <v>0</v>
      </c>
      <c r="M399" s="16"/>
      <c r="N399" s="16"/>
    </row>
    <row r="400" spans="1:14" hidden="1" x14ac:dyDescent="0.3">
      <c r="A400" s="29" t="s">
        <v>1017</v>
      </c>
      <c r="B400" s="15"/>
      <c r="C400" s="16" t="e">
        <f>IF([2]!Artículos4[[#This Row],[Proveedor (código)]]="","",VLOOKUP([2]!Artículos4[[#This Row],[Proveedor (código)]],[2]Proveedores!A:B,2,FALSE))</f>
        <v>#REF!</v>
      </c>
      <c r="D400" s="29" t="s">
        <v>444</v>
      </c>
      <c r="E400" s="29" t="s">
        <v>57</v>
      </c>
      <c r="F400" s="51"/>
      <c r="G400" s="14"/>
      <c r="H400" s="14"/>
      <c r="I400" s="14"/>
      <c r="J400" s="16">
        <f>SUMIFS(Entradas!G:G,Entradas!E:E,Artículos[[#This Row],[Código]])</f>
        <v>0</v>
      </c>
      <c r="K400" s="16">
        <f>SUMIFS(Salidas!G:G,Salidas!E:E,Artículos[[#This Row],[Código]])</f>
        <v>0</v>
      </c>
      <c r="L400" s="16">
        <f>Artículos[[#This Row],[Existencias iniciales]]+Artículos[[#This Row],[Entradas]]-Artículos[[#This Row],[Salidas]]</f>
        <v>0</v>
      </c>
      <c r="M400" s="16"/>
      <c r="N400" s="16"/>
    </row>
    <row r="401" spans="1:14" hidden="1" x14ac:dyDescent="0.3">
      <c r="A401" s="29" t="s">
        <v>1348</v>
      </c>
      <c r="B401" s="15"/>
      <c r="C401" s="16" t="e">
        <f>IF([2]!Artículos4[[#This Row],[Proveedor (código)]]="","",VLOOKUP([2]!Artículos4[[#This Row],[Proveedor (código)]],[2]Proveedores!A:B,2,FALSE))</f>
        <v>#REF!</v>
      </c>
      <c r="D401" s="29" t="s">
        <v>445</v>
      </c>
      <c r="E401" s="29" t="s">
        <v>57</v>
      </c>
      <c r="F401" s="51"/>
      <c r="G401" s="14"/>
      <c r="H401" s="14"/>
      <c r="I401" s="14">
        <v>3</v>
      </c>
      <c r="J401" s="16">
        <f>SUMIFS(Entradas!G:G,Entradas!E:E,Artículos[[#This Row],[Código]])</f>
        <v>0</v>
      </c>
      <c r="K401" s="16">
        <f>SUMIFS(Salidas!G:G,Salidas!E:E,Artículos[[#This Row],[Código]])</f>
        <v>0</v>
      </c>
      <c r="L401" s="16">
        <f>Artículos[[#This Row],[Existencias iniciales]]+Artículos[[#This Row],[Entradas]]-Artículos[[#This Row],[Salidas]]</f>
        <v>3</v>
      </c>
      <c r="M401" s="16"/>
      <c r="N401" s="16"/>
    </row>
    <row r="402" spans="1:14" hidden="1" x14ac:dyDescent="0.3">
      <c r="A402" s="29" t="s">
        <v>1349</v>
      </c>
      <c r="B402" s="15"/>
      <c r="C402" s="16" t="e">
        <f>IF([2]!Artículos4[[#This Row],[Proveedor (código)]]="","",VLOOKUP([2]!Artículos4[[#This Row],[Proveedor (código)]],[2]Proveedores!A:B,2,FALSE))</f>
        <v>#REF!</v>
      </c>
      <c r="D402" s="29" t="s">
        <v>446</v>
      </c>
      <c r="E402" s="29" t="s">
        <v>57</v>
      </c>
      <c r="F402" s="51"/>
      <c r="G402" s="14"/>
      <c r="H402" s="14"/>
      <c r="I402" s="14"/>
      <c r="J402" s="16">
        <f>SUMIFS(Entradas!G:G,Entradas!E:E,Artículos[[#This Row],[Código]])</f>
        <v>0</v>
      </c>
      <c r="K402" s="16">
        <f>SUMIFS(Salidas!G:G,Salidas!E:E,Artículos[[#This Row],[Código]])</f>
        <v>0</v>
      </c>
      <c r="L402" s="16">
        <f>Artículos[[#This Row],[Existencias iniciales]]+Artículos[[#This Row],[Entradas]]-Artículos[[#This Row],[Salidas]]</f>
        <v>0</v>
      </c>
      <c r="M402" s="16"/>
      <c r="N402" s="16"/>
    </row>
    <row r="403" spans="1:14" hidden="1" x14ac:dyDescent="0.3">
      <c r="A403" s="29" t="s">
        <v>1350</v>
      </c>
      <c r="B403" s="15"/>
      <c r="C403" s="16" t="e">
        <f>IF([2]!Artículos4[[#This Row],[Proveedor (código)]]="","",VLOOKUP([2]!Artículos4[[#This Row],[Proveedor (código)]],[2]Proveedores!A:B,2,FALSE))</f>
        <v>#REF!</v>
      </c>
      <c r="D403" s="29" t="s">
        <v>447</v>
      </c>
      <c r="E403" s="29" t="s">
        <v>57</v>
      </c>
      <c r="F403" s="51"/>
      <c r="G403" s="14"/>
      <c r="H403" s="14"/>
      <c r="I403" s="14">
        <v>2</v>
      </c>
      <c r="J403" s="16">
        <f>SUMIFS(Entradas!G:G,Entradas!E:E,Artículos[[#This Row],[Código]])</f>
        <v>0</v>
      </c>
      <c r="K403" s="16">
        <f>SUMIFS(Salidas!G:G,Salidas!E:E,Artículos[[#This Row],[Código]])</f>
        <v>0</v>
      </c>
      <c r="L403" s="16">
        <f>Artículos[[#This Row],[Existencias iniciales]]+Artículos[[#This Row],[Entradas]]-Artículos[[#This Row],[Salidas]]</f>
        <v>2</v>
      </c>
      <c r="M403" s="16"/>
      <c r="N403" s="16"/>
    </row>
    <row r="404" spans="1:14" hidden="1" x14ac:dyDescent="0.3">
      <c r="A404" s="29" t="s">
        <v>1351</v>
      </c>
      <c r="B404" s="15"/>
      <c r="C404" s="16" t="e">
        <f>IF([2]!Artículos4[[#This Row],[Proveedor (código)]]="","",VLOOKUP([2]!Artículos4[[#This Row],[Proveedor (código)]],[2]Proveedores!A:B,2,FALSE))</f>
        <v>#REF!</v>
      </c>
      <c r="D404" s="29" t="s">
        <v>446</v>
      </c>
      <c r="E404" s="29" t="s">
        <v>57</v>
      </c>
      <c r="F404" s="51"/>
      <c r="G404" s="14"/>
      <c r="H404" s="14"/>
      <c r="I404" s="14"/>
      <c r="J404" s="16">
        <f>SUMIFS(Entradas!G:G,Entradas!E:E,Artículos[[#This Row],[Código]])</f>
        <v>0</v>
      </c>
      <c r="K404" s="16">
        <f>SUMIFS(Salidas!G:G,Salidas!E:E,Artículos[[#This Row],[Código]])</f>
        <v>0</v>
      </c>
      <c r="L404" s="16">
        <f>Artículos[[#This Row],[Existencias iniciales]]+Artículos[[#This Row],[Entradas]]-Artículos[[#This Row],[Salidas]]</f>
        <v>0</v>
      </c>
      <c r="M404" s="16"/>
      <c r="N404" s="16"/>
    </row>
    <row r="405" spans="1:14" ht="14.4" hidden="1" customHeight="1" x14ac:dyDescent="0.3">
      <c r="A405" s="29" t="s">
        <v>1352</v>
      </c>
      <c r="B405" s="15"/>
      <c r="C405" s="16" t="e">
        <f>IF([2]!Artículos4[[#This Row],[Proveedor (código)]]="","",VLOOKUP([2]!Artículos4[[#This Row],[Proveedor (código)]],[2]Proveedores!A:B,2,FALSE))</f>
        <v>#REF!</v>
      </c>
      <c r="D405" s="29" t="s">
        <v>448</v>
      </c>
      <c r="E405" s="29" t="s">
        <v>57</v>
      </c>
      <c r="F405" s="51"/>
      <c r="G405" s="14"/>
      <c r="H405" s="14"/>
      <c r="I405" s="14">
        <v>1</v>
      </c>
      <c r="J405" s="16">
        <f>SUMIFS(Entradas!G:G,Entradas!E:E,Artículos[[#This Row],[Código]])</f>
        <v>0</v>
      </c>
      <c r="K405" s="16">
        <f>SUMIFS(Salidas!G:G,Salidas!E:E,Artículos[[#This Row],[Código]])</f>
        <v>0</v>
      </c>
      <c r="L405" s="16">
        <f>Artículos[[#This Row],[Existencias iniciales]]+Artículos[[#This Row],[Entradas]]-Artículos[[#This Row],[Salidas]]</f>
        <v>1</v>
      </c>
      <c r="M405" s="16"/>
      <c r="N405" s="16"/>
    </row>
    <row r="406" spans="1:14" ht="14.4" hidden="1" customHeight="1" x14ac:dyDescent="0.3">
      <c r="A406" s="29" t="s">
        <v>1353</v>
      </c>
      <c r="B406" s="15"/>
      <c r="C406" s="16" t="e">
        <f>IF([2]!Artículos4[[#This Row],[Proveedor (código)]]="","",VLOOKUP([2]!Artículos4[[#This Row],[Proveedor (código)]],[2]Proveedores!A:B,2,FALSE))</f>
        <v>#REF!</v>
      </c>
      <c r="D406" s="29" t="s">
        <v>63</v>
      </c>
      <c r="E406" s="29" t="s">
        <v>57</v>
      </c>
      <c r="F406" s="51"/>
      <c r="G406" s="14"/>
      <c r="H406" s="14"/>
      <c r="I406" s="14"/>
      <c r="J406" s="16">
        <f>SUMIFS(Entradas!G:G,Entradas!E:E,Artículos[[#This Row],[Código]])</f>
        <v>0</v>
      </c>
      <c r="K406" s="16">
        <f>SUMIFS(Salidas!G:G,Salidas!E:E,Artículos[[#This Row],[Código]])</f>
        <v>0</v>
      </c>
      <c r="L406" s="16">
        <f>Artículos[[#This Row],[Existencias iniciales]]+Artículos[[#This Row],[Entradas]]-Artículos[[#This Row],[Salidas]]</f>
        <v>0</v>
      </c>
      <c r="M406" s="16"/>
      <c r="N406" s="16"/>
    </row>
    <row r="407" spans="1:14" ht="14.4" hidden="1" customHeight="1" x14ac:dyDescent="0.3">
      <c r="A407" s="29" t="s">
        <v>1354</v>
      </c>
      <c r="B407" s="15"/>
      <c r="C407" s="16" t="e">
        <f>IF([2]!Artículos4[[#This Row],[Proveedor (código)]]="","",VLOOKUP([2]!Artículos4[[#This Row],[Proveedor (código)]],[2]Proveedores!A:B,2,FALSE))</f>
        <v>#REF!</v>
      </c>
      <c r="D407" s="29" t="s">
        <v>449</v>
      </c>
      <c r="E407" s="29" t="s">
        <v>57</v>
      </c>
      <c r="F407" s="51"/>
      <c r="G407" s="14"/>
      <c r="H407" s="14"/>
      <c r="I407" s="14">
        <v>5</v>
      </c>
      <c r="J407" s="16">
        <f>SUMIFS(Entradas!G:G,Entradas!E:E,Artículos[[#This Row],[Código]])</f>
        <v>0</v>
      </c>
      <c r="K407" s="16">
        <f>SUMIFS(Salidas!G:G,Salidas!E:E,Artículos[[#This Row],[Código]])</f>
        <v>0</v>
      </c>
      <c r="L407" s="16">
        <f>Artículos[[#This Row],[Existencias iniciales]]+Artículos[[#This Row],[Entradas]]-Artículos[[#This Row],[Salidas]]</f>
        <v>5</v>
      </c>
      <c r="M407" s="16"/>
      <c r="N407" s="16"/>
    </row>
    <row r="408" spans="1:14" ht="14.4" hidden="1" customHeight="1" x14ac:dyDescent="0.3">
      <c r="A408" s="29" t="s">
        <v>1355</v>
      </c>
      <c r="B408" s="15"/>
      <c r="C408" s="16" t="e">
        <f>IF([2]!Artículos4[[#This Row],[Proveedor (código)]]="","",VLOOKUP([2]!Artículos4[[#This Row],[Proveedor (código)]],[2]Proveedores!A:B,2,FALSE))</f>
        <v>#REF!</v>
      </c>
      <c r="D408" s="29" t="s">
        <v>450</v>
      </c>
      <c r="E408" s="29" t="s">
        <v>57</v>
      </c>
      <c r="F408" s="51"/>
      <c r="G408" s="14"/>
      <c r="H408" s="14"/>
      <c r="I408" s="14">
        <v>1</v>
      </c>
      <c r="J408" s="16">
        <f>SUMIFS(Entradas!G:G,Entradas!E:E,Artículos[[#This Row],[Código]])</f>
        <v>0</v>
      </c>
      <c r="K408" s="16">
        <f>SUMIFS(Salidas!G:G,Salidas!E:E,Artículos[[#This Row],[Código]])</f>
        <v>0</v>
      </c>
      <c r="L408" s="16">
        <f>Artículos[[#This Row],[Existencias iniciales]]+Artículos[[#This Row],[Entradas]]-Artículos[[#This Row],[Salidas]]</f>
        <v>1</v>
      </c>
      <c r="M408" s="16"/>
      <c r="N408" s="16"/>
    </row>
    <row r="409" spans="1:14" ht="14.4" hidden="1" customHeight="1" x14ac:dyDescent="0.3">
      <c r="A409" s="29" t="s">
        <v>1356</v>
      </c>
      <c r="B409" s="15"/>
      <c r="C409" s="16" t="e">
        <f>IF([2]!Artículos4[[#This Row],[Proveedor (código)]]="","",VLOOKUP([2]!Artículos4[[#This Row],[Proveedor (código)]],[2]Proveedores!A:B,2,FALSE))</f>
        <v>#REF!</v>
      </c>
      <c r="D409" s="29"/>
      <c r="E409" s="29" t="s">
        <v>57</v>
      </c>
      <c r="F409" s="51"/>
      <c r="G409" s="14"/>
      <c r="H409" s="14"/>
      <c r="I409" s="14"/>
      <c r="J409" s="16">
        <f>SUMIFS(Entradas!G:G,Entradas!E:E,Artículos[[#This Row],[Código]])</f>
        <v>0</v>
      </c>
      <c r="K409" s="16">
        <f>SUMIFS(Salidas!G:G,Salidas!E:E,Artículos[[#This Row],[Código]])</f>
        <v>0</v>
      </c>
      <c r="L409" s="16">
        <f>Artículos[[#This Row],[Existencias iniciales]]+Artículos[[#This Row],[Entradas]]-Artículos[[#This Row],[Salidas]]</f>
        <v>0</v>
      </c>
      <c r="M409" s="16"/>
      <c r="N409" s="16"/>
    </row>
    <row r="410" spans="1:14" ht="14.4" hidden="1" customHeight="1" x14ac:dyDescent="0.3">
      <c r="A410" s="29" t="s">
        <v>1357</v>
      </c>
      <c r="B410" s="15"/>
      <c r="C410" s="16" t="e">
        <f>IF([2]!Artículos4[[#This Row],[Proveedor (código)]]="","",VLOOKUP([2]!Artículos4[[#This Row],[Proveedor (código)]],[2]Proveedores!A:B,2,FALSE))</f>
        <v>#REF!</v>
      </c>
      <c r="D410" s="29"/>
      <c r="E410" s="29" t="s">
        <v>57</v>
      </c>
      <c r="F410" s="51"/>
      <c r="G410" s="14"/>
      <c r="H410" s="14"/>
      <c r="I410" s="14"/>
      <c r="J410" s="16">
        <f>SUMIFS(Entradas!G:G,Entradas!E:E,Artículos[[#This Row],[Código]])</f>
        <v>0</v>
      </c>
      <c r="K410" s="16">
        <f>SUMIFS(Salidas!G:G,Salidas!E:E,Artículos[[#This Row],[Código]])</f>
        <v>0</v>
      </c>
      <c r="L410" s="16">
        <f>Artículos[[#This Row],[Existencias iniciales]]+Artículos[[#This Row],[Entradas]]-Artículos[[#This Row],[Salidas]]</f>
        <v>0</v>
      </c>
      <c r="M410" s="16"/>
      <c r="N410" s="16"/>
    </row>
    <row r="411" spans="1:14" ht="14.4" customHeight="1" x14ac:dyDescent="0.3">
      <c r="A411" s="29" t="s">
        <v>703</v>
      </c>
      <c r="B411" s="15" t="s">
        <v>1387</v>
      </c>
      <c r="C411" s="16" t="e">
        <f>IF([2]!Artículos4[[#This Row],[Proveedor (código)]]="","",VLOOKUP([2]!Artículos4[[#This Row],[Proveedor (código)]],[2]Proveedores!A:B,2,FALSE))</f>
        <v>#REF!</v>
      </c>
      <c r="D411" s="29" t="s">
        <v>451</v>
      </c>
      <c r="E411" s="29" t="s">
        <v>452</v>
      </c>
      <c r="F411" s="51"/>
      <c r="G411" s="14"/>
      <c r="H411" s="14"/>
      <c r="I411" s="14">
        <v>318</v>
      </c>
      <c r="J411" s="16">
        <f>SUMIFS(Entradas!G:G,Entradas!E:E,Artículos[[#This Row],[Código]])</f>
        <v>154</v>
      </c>
      <c r="K411" s="16">
        <f>SUMIFS(Salidas!G:G,Salidas!E:E,Artículos[[#This Row],[Código]])</f>
        <v>62</v>
      </c>
      <c r="L411" s="16">
        <f>Artículos[[#This Row],[Existencias iniciales]]+Artículos[[#This Row],[Entradas]]-Artículos[[#This Row],[Salidas]]</f>
        <v>410</v>
      </c>
      <c r="M411" s="16"/>
      <c r="N411" s="16"/>
    </row>
    <row r="412" spans="1:14" ht="14.4" customHeight="1" x14ac:dyDescent="0.3">
      <c r="A412" s="29" t="s">
        <v>704</v>
      </c>
      <c r="B412" s="15"/>
      <c r="C412" s="16" t="e">
        <f>IF([2]!Artículos4[[#This Row],[Proveedor (código)]]="","",VLOOKUP([2]!Artículos4[[#This Row],[Proveedor (código)]],[2]Proveedores!A:B,2,FALSE))</f>
        <v>#REF!</v>
      </c>
      <c r="D412" s="29" t="s">
        <v>453</v>
      </c>
      <c r="E412" s="29" t="s">
        <v>452</v>
      </c>
      <c r="F412" s="51"/>
      <c r="G412" s="14"/>
      <c r="H412" s="14"/>
      <c r="I412" s="14"/>
      <c r="J412" s="16">
        <f>SUMIFS(Entradas!G:G,Entradas!E:E,Artículos[[#This Row],[Código]])</f>
        <v>192</v>
      </c>
      <c r="K412" s="16">
        <f>SUMIFS(Salidas!G:G,Salidas!E:E,Artículos[[#This Row],[Código]])</f>
        <v>18</v>
      </c>
      <c r="L412" s="16">
        <f>Artículos[[#This Row],[Existencias iniciales]]+Artículos[[#This Row],[Entradas]]-Artículos[[#This Row],[Salidas]]</f>
        <v>174</v>
      </c>
      <c r="M412" s="16"/>
      <c r="N412" s="16"/>
    </row>
    <row r="413" spans="1:14" ht="14.4" customHeight="1" x14ac:dyDescent="0.3">
      <c r="A413" s="29" t="s">
        <v>705</v>
      </c>
      <c r="B413" s="15"/>
      <c r="C413" s="16" t="e">
        <f>IF([2]!Artículos4[[#This Row],[Proveedor (código)]]="","",VLOOKUP([2]!Artículos4[[#This Row],[Proveedor (código)]],[2]Proveedores!A:B,2,FALSE))</f>
        <v>#REF!</v>
      </c>
      <c r="D413" s="29" t="s">
        <v>454</v>
      </c>
      <c r="E413" s="29" t="s">
        <v>452</v>
      </c>
      <c r="F413" s="51"/>
      <c r="G413" s="14"/>
      <c r="H413" s="14"/>
      <c r="I413" s="14"/>
      <c r="J413" s="16">
        <f>SUMIFS(Entradas!G:G,Entradas!E:E,Artículos[[#This Row],[Código]])</f>
        <v>2</v>
      </c>
      <c r="K413" s="16">
        <f>SUMIFS(Salidas!G:G,Salidas!E:E,Artículos[[#This Row],[Código]])</f>
        <v>0</v>
      </c>
      <c r="L413" s="16">
        <f>Artículos[[#This Row],[Existencias iniciales]]+Artículos[[#This Row],[Entradas]]-Artículos[[#This Row],[Salidas]]</f>
        <v>2</v>
      </c>
      <c r="M413" s="16"/>
      <c r="N413" s="16"/>
    </row>
    <row r="414" spans="1:14" ht="14.4" customHeight="1" x14ac:dyDescent="0.3">
      <c r="A414" s="29" t="s">
        <v>1042</v>
      </c>
      <c r="B414" s="15"/>
      <c r="C414" s="16" t="e">
        <f>IF([2]!Artículos4[[#This Row],[Proveedor (código)]]="","",VLOOKUP([2]!Artículos4[[#This Row],[Proveedor (código)]],[2]Proveedores!A:B,2,FALSE))</f>
        <v>#REF!</v>
      </c>
      <c r="D414" s="29" t="s">
        <v>455</v>
      </c>
      <c r="E414" s="29" t="s">
        <v>452</v>
      </c>
      <c r="F414" s="51"/>
      <c r="G414" s="14"/>
      <c r="H414" s="14"/>
      <c r="I414" s="14"/>
      <c r="J414" s="16">
        <f>SUMIFS(Entradas!G:G,Entradas!E:E,Artículos[[#This Row],[Código]])</f>
        <v>5</v>
      </c>
      <c r="K414" s="16">
        <f>SUMIFS(Salidas!G:G,Salidas!E:E,Artículos[[#This Row],[Código]])</f>
        <v>0</v>
      </c>
      <c r="L414" s="16">
        <f>Artículos[[#This Row],[Existencias iniciales]]+Artículos[[#This Row],[Entradas]]-Artículos[[#This Row],[Salidas]]</f>
        <v>5</v>
      </c>
      <c r="M414" s="16"/>
      <c r="N414" s="16"/>
    </row>
    <row r="415" spans="1:14" ht="14.4" customHeight="1" x14ac:dyDescent="0.3">
      <c r="A415" s="29" t="s">
        <v>1043</v>
      </c>
      <c r="B415" s="15"/>
      <c r="C415" s="16" t="e">
        <f>IF([2]!Artículos4[[#This Row],[Proveedor (código)]]="","",VLOOKUP([2]!Artículos4[[#This Row],[Proveedor (código)]],[2]Proveedores!A:B,2,FALSE))</f>
        <v>#REF!</v>
      </c>
      <c r="D415" s="29" t="s">
        <v>456</v>
      </c>
      <c r="E415" s="29" t="s">
        <v>452</v>
      </c>
      <c r="F415" s="51"/>
      <c r="G415" s="14"/>
      <c r="H415" s="14"/>
      <c r="I415" s="14"/>
      <c r="J415" s="16">
        <f>SUMIFS(Entradas!G:G,Entradas!E:E,Artículos[[#This Row],[Código]])</f>
        <v>0</v>
      </c>
      <c r="K415" s="16">
        <f>SUMIFS(Salidas!G:G,Salidas!E:E,Artículos[[#This Row],[Código]])</f>
        <v>0</v>
      </c>
      <c r="L415" s="16">
        <f>Artículos[[#This Row],[Existencias iniciales]]+Artículos[[#This Row],[Entradas]]-Artículos[[#This Row],[Salidas]]</f>
        <v>0</v>
      </c>
      <c r="M415" s="16"/>
      <c r="N415" s="16"/>
    </row>
    <row r="416" spans="1:14" ht="14.4" customHeight="1" x14ac:dyDescent="0.3">
      <c r="A416" s="29" t="s">
        <v>1044</v>
      </c>
      <c r="B416" s="15"/>
      <c r="C416" s="16" t="e">
        <f>IF([2]!Artículos4[[#This Row],[Proveedor (código)]]="","",VLOOKUP([2]!Artículos4[[#This Row],[Proveedor (código)]],[2]Proveedores!A:B,2,FALSE))</f>
        <v>#REF!</v>
      </c>
      <c r="D416" s="29" t="s">
        <v>457</v>
      </c>
      <c r="E416" s="29" t="s">
        <v>452</v>
      </c>
      <c r="F416" s="51"/>
      <c r="G416" s="14"/>
      <c r="H416" s="14"/>
      <c r="I416" s="14"/>
      <c r="J416" s="16">
        <f>SUMIFS(Entradas!G:G,Entradas!E:E,Artículos[[#This Row],[Código]])</f>
        <v>0</v>
      </c>
      <c r="K416" s="16">
        <f>SUMIFS(Salidas!G:G,Salidas!E:E,Artículos[[#This Row],[Código]])</f>
        <v>0</v>
      </c>
      <c r="L416" s="16">
        <f>Artículos[[#This Row],[Existencias iniciales]]+Artículos[[#This Row],[Entradas]]-Artículos[[#This Row],[Salidas]]</f>
        <v>0</v>
      </c>
      <c r="M416" s="16"/>
      <c r="N416" s="16"/>
    </row>
    <row r="417" spans="1:14" ht="14.4" customHeight="1" x14ac:dyDescent="0.3">
      <c r="A417" s="29" t="s">
        <v>1045</v>
      </c>
      <c r="B417" s="15"/>
      <c r="C417" s="16" t="e">
        <f>IF([2]!Artículos4[[#This Row],[Proveedor (código)]]="","",VLOOKUP([2]!Artículos4[[#This Row],[Proveedor (código)]],[2]Proveedores!A:B,2,FALSE))</f>
        <v>#REF!</v>
      </c>
      <c r="D417" s="29" t="s">
        <v>458</v>
      </c>
      <c r="E417" s="29" t="s">
        <v>452</v>
      </c>
      <c r="F417" s="51"/>
      <c r="G417" s="14"/>
      <c r="H417" s="14"/>
      <c r="I417" s="14"/>
      <c r="J417" s="16">
        <f>SUMIFS(Entradas!G:G,Entradas!E:E,Artículos[[#This Row],[Código]])</f>
        <v>19</v>
      </c>
      <c r="K417" s="16">
        <f>SUMIFS(Salidas!G:G,Salidas!E:E,Artículos[[#This Row],[Código]])</f>
        <v>0</v>
      </c>
      <c r="L417" s="16">
        <f>Artículos[[#This Row],[Existencias iniciales]]+Artículos[[#This Row],[Entradas]]-Artículos[[#This Row],[Salidas]]</f>
        <v>19</v>
      </c>
      <c r="M417" s="16"/>
      <c r="N417" s="16"/>
    </row>
    <row r="418" spans="1:14" ht="14.4" customHeight="1" x14ac:dyDescent="0.3">
      <c r="A418" s="29" t="s">
        <v>1046</v>
      </c>
      <c r="B418" s="15"/>
      <c r="C418" s="16" t="e">
        <f>IF([2]!Artículos4[[#This Row],[Proveedor (código)]]="","",VLOOKUP([2]!Artículos4[[#This Row],[Proveedor (código)]],[2]Proveedores!A:B,2,FALSE))</f>
        <v>#REF!</v>
      </c>
      <c r="D418" s="29" t="s">
        <v>459</v>
      </c>
      <c r="E418" s="29" t="s">
        <v>452</v>
      </c>
      <c r="F418" s="51"/>
      <c r="G418" s="14"/>
      <c r="H418" s="14"/>
      <c r="I418" s="14"/>
      <c r="J418" s="16">
        <f>SUMIFS(Entradas!G:G,Entradas!E:E,Artículos[[#This Row],[Código]])</f>
        <v>0</v>
      </c>
      <c r="K418" s="16">
        <f>SUMIFS(Salidas!G:G,Salidas!E:E,Artículos[[#This Row],[Código]])</f>
        <v>0</v>
      </c>
      <c r="L418" s="16">
        <f>Artículos[[#This Row],[Existencias iniciales]]+Artículos[[#This Row],[Entradas]]-Artículos[[#This Row],[Salidas]]</f>
        <v>0</v>
      </c>
      <c r="M418" s="16"/>
      <c r="N418" s="16"/>
    </row>
    <row r="419" spans="1:14" ht="14.4" customHeight="1" x14ac:dyDescent="0.3">
      <c r="A419" s="29" t="s">
        <v>1047</v>
      </c>
      <c r="B419" s="15"/>
      <c r="C419" s="16" t="e">
        <f>IF([2]!Artículos4[[#This Row],[Proveedor (código)]]="","",VLOOKUP([2]!Artículos4[[#This Row],[Proveedor (código)]],[2]Proveedores!A:B,2,FALSE))</f>
        <v>#REF!</v>
      </c>
      <c r="D419" s="29" t="s">
        <v>460</v>
      </c>
      <c r="E419" s="29" t="s">
        <v>452</v>
      </c>
      <c r="F419" s="51"/>
      <c r="G419" s="14"/>
      <c r="H419" s="14"/>
      <c r="I419" s="14">
        <v>35</v>
      </c>
      <c r="J419" s="16">
        <f>SUMIFS(Entradas!G:G,Entradas!E:E,Artículos[[#This Row],[Código]])</f>
        <v>1</v>
      </c>
      <c r="K419" s="16">
        <f>SUMIFS(Salidas!G:G,Salidas!E:E,Artículos[[#This Row],[Código]])</f>
        <v>0</v>
      </c>
      <c r="L419" s="16">
        <f>Artículos[[#This Row],[Existencias iniciales]]+Artículos[[#This Row],[Entradas]]-Artículos[[#This Row],[Salidas]]</f>
        <v>36</v>
      </c>
      <c r="M419" s="16"/>
      <c r="N419" s="16"/>
    </row>
    <row r="420" spans="1:14" ht="14.4" customHeight="1" x14ac:dyDescent="0.3">
      <c r="A420" s="29" t="s">
        <v>1048</v>
      </c>
      <c r="B420" s="15"/>
      <c r="C420" s="16" t="e">
        <f>IF([2]!Artículos4[[#This Row],[Proveedor (código)]]="","",VLOOKUP([2]!Artículos4[[#This Row],[Proveedor (código)]],[2]Proveedores!A:B,2,FALSE))</f>
        <v>#REF!</v>
      </c>
      <c r="D420" s="29" t="s">
        <v>461</v>
      </c>
      <c r="E420" s="29" t="s">
        <v>452</v>
      </c>
      <c r="F420" s="51"/>
      <c r="G420" s="14"/>
      <c r="H420" s="14"/>
      <c r="I420" s="14"/>
      <c r="J420" s="16">
        <f>SUMIFS(Entradas!G:G,Entradas!E:E,Artículos[[#This Row],[Código]])</f>
        <v>0</v>
      </c>
      <c r="K420" s="16">
        <f>SUMIFS(Salidas!G:G,Salidas!E:E,Artículos[[#This Row],[Código]])</f>
        <v>0</v>
      </c>
      <c r="L420" s="16">
        <f>Artículos[[#This Row],[Existencias iniciales]]+Artículos[[#This Row],[Entradas]]-Artículos[[#This Row],[Salidas]]</f>
        <v>0</v>
      </c>
      <c r="M420" s="16"/>
      <c r="N420" s="16"/>
    </row>
    <row r="421" spans="1:14" ht="14.4" customHeight="1" x14ac:dyDescent="0.3">
      <c r="A421" s="29" t="s">
        <v>1049</v>
      </c>
      <c r="B421" s="15"/>
      <c r="C421" s="16" t="e">
        <f>IF([2]!Artículos4[[#This Row],[Proveedor (código)]]="","",VLOOKUP([2]!Artículos4[[#This Row],[Proveedor (código)]],[2]Proveedores!A:B,2,FALSE))</f>
        <v>#REF!</v>
      </c>
      <c r="D421" s="29" t="s">
        <v>462</v>
      </c>
      <c r="E421" s="29" t="s">
        <v>452</v>
      </c>
      <c r="F421" s="51"/>
      <c r="G421" s="14"/>
      <c r="H421" s="14"/>
      <c r="I421" s="14"/>
      <c r="J421" s="16">
        <f>SUMIFS(Entradas!G:G,Entradas!E:E,Artículos[[#This Row],[Código]])</f>
        <v>0</v>
      </c>
      <c r="K421" s="16">
        <f>SUMIFS(Salidas!G:G,Salidas!E:E,Artículos[[#This Row],[Código]])</f>
        <v>0</v>
      </c>
      <c r="L421" s="16">
        <f>Artículos[[#This Row],[Existencias iniciales]]+Artículos[[#This Row],[Entradas]]-Artículos[[#This Row],[Salidas]]</f>
        <v>0</v>
      </c>
      <c r="M421" s="16"/>
      <c r="N421" s="16"/>
    </row>
    <row r="422" spans="1:14" ht="14.4" customHeight="1" x14ac:dyDescent="0.3">
      <c r="A422" s="29" t="s">
        <v>1050</v>
      </c>
      <c r="B422" s="15"/>
      <c r="C422" s="16" t="e">
        <f>IF([2]!Artículos4[[#This Row],[Proveedor (código)]]="","",VLOOKUP([2]!Artículos4[[#This Row],[Proveedor (código)]],[2]Proveedores!A:B,2,FALSE))</f>
        <v>#REF!</v>
      </c>
      <c r="D422" s="29" t="s">
        <v>463</v>
      </c>
      <c r="E422" s="29" t="s">
        <v>452</v>
      </c>
      <c r="F422" s="51"/>
      <c r="G422" s="14"/>
      <c r="H422" s="14"/>
      <c r="I422" s="14"/>
      <c r="J422" s="16">
        <f>SUMIFS(Entradas!G:G,Entradas!E:E,Artículos[[#This Row],[Código]])</f>
        <v>0</v>
      </c>
      <c r="K422" s="16">
        <f>SUMIFS(Salidas!G:G,Salidas!E:E,Artículos[[#This Row],[Código]])</f>
        <v>0</v>
      </c>
      <c r="L422" s="16">
        <f>Artículos[[#This Row],[Existencias iniciales]]+Artículos[[#This Row],[Entradas]]-Artículos[[#This Row],[Salidas]]</f>
        <v>0</v>
      </c>
      <c r="M422" s="16"/>
      <c r="N422" s="16"/>
    </row>
    <row r="423" spans="1:14" ht="14.4" customHeight="1" x14ac:dyDescent="0.3">
      <c r="A423" s="29" t="s">
        <v>1051</v>
      </c>
      <c r="B423" s="15"/>
      <c r="C423" s="16" t="e">
        <f>IF([2]!Artículos4[[#This Row],[Proveedor (código)]]="","",VLOOKUP([2]!Artículos4[[#This Row],[Proveedor (código)]],[2]Proveedores!A:B,2,FALSE))</f>
        <v>#REF!</v>
      </c>
      <c r="D423" s="29" t="s">
        <v>464</v>
      </c>
      <c r="E423" s="29" t="s">
        <v>452</v>
      </c>
      <c r="F423" s="51"/>
      <c r="G423" s="14"/>
      <c r="H423" s="14"/>
      <c r="I423" s="14">
        <v>4</v>
      </c>
      <c r="J423" s="16">
        <f>SUMIFS(Entradas!G:G,Entradas!E:E,Artículos[[#This Row],[Código]])</f>
        <v>0</v>
      </c>
      <c r="K423" s="16">
        <f>SUMIFS(Salidas!G:G,Salidas!E:E,Artículos[[#This Row],[Código]])</f>
        <v>0</v>
      </c>
      <c r="L423" s="16">
        <f>Artículos[[#This Row],[Existencias iniciales]]+Artículos[[#This Row],[Entradas]]-Artículos[[#This Row],[Salidas]]</f>
        <v>4</v>
      </c>
      <c r="M423" s="16"/>
      <c r="N423" s="16"/>
    </row>
    <row r="424" spans="1:14" ht="14.4" customHeight="1" x14ac:dyDescent="0.3">
      <c r="A424" s="29" t="s">
        <v>1052</v>
      </c>
      <c r="B424" s="15"/>
      <c r="C424" s="16" t="e">
        <f>IF([2]!Artículos4[[#This Row],[Proveedor (código)]]="","",VLOOKUP([2]!Artículos4[[#This Row],[Proveedor (código)]],[2]Proveedores!A:B,2,FALSE))</f>
        <v>#REF!</v>
      </c>
      <c r="D424" s="29" t="s">
        <v>465</v>
      </c>
      <c r="E424" s="29" t="s">
        <v>452</v>
      </c>
      <c r="F424" s="51"/>
      <c r="G424" s="14"/>
      <c r="H424" s="14"/>
      <c r="I424" s="14"/>
      <c r="J424" s="16">
        <f>SUMIFS(Entradas!G:G,Entradas!E:E,Artículos[[#This Row],[Código]])</f>
        <v>0</v>
      </c>
      <c r="K424" s="16">
        <f>SUMIFS(Salidas!G:G,Salidas!E:E,Artículos[[#This Row],[Código]])</f>
        <v>0</v>
      </c>
      <c r="L424" s="16">
        <f>Artículos[[#This Row],[Existencias iniciales]]+Artículos[[#This Row],[Entradas]]-Artículos[[#This Row],[Salidas]]</f>
        <v>0</v>
      </c>
      <c r="M424" s="16"/>
      <c r="N424" s="16"/>
    </row>
    <row r="425" spans="1:14" ht="14.4" customHeight="1" x14ac:dyDescent="0.3">
      <c r="A425" s="29" t="s">
        <v>1053</v>
      </c>
      <c r="B425" s="15"/>
      <c r="C425" s="16" t="e">
        <f>IF([2]!Artículos4[[#This Row],[Proveedor (código)]]="","",VLOOKUP([2]!Artículos4[[#This Row],[Proveedor (código)]],[2]Proveedores!A:B,2,FALSE))</f>
        <v>#REF!</v>
      </c>
      <c r="D425" s="29" t="s">
        <v>466</v>
      </c>
      <c r="E425" s="29" t="s">
        <v>452</v>
      </c>
      <c r="F425" s="51"/>
      <c r="G425" s="14"/>
      <c r="H425" s="14"/>
      <c r="I425" s="14"/>
      <c r="J425" s="16">
        <f>SUMIFS(Entradas!G:G,Entradas!E:E,Artículos[[#This Row],[Código]])</f>
        <v>0</v>
      </c>
      <c r="K425" s="16">
        <f>SUMIFS(Salidas!G:G,Salidas!E:E,Artículos[[#This Row],[Código]])</f>
        <v>0</v>
      </c>
      <c r="L425" s="16">
        <f>Artículos[[#This Row],[Existencias iniciales]]+Artículos[[#This Row],[Entradas]]-Artículos[[#This Row],[Salidas]]</f>
        <v>0</v>
      </c>
      <c r="M425" s="16"/>
      <c r="N425" s="16"/>
    </row>
    <row r="426" spans="1:14" ht="14.4" customHeight="1" x14ac:dyDescent="0.3">
      <c r="A426" s="29" t="s">
        <v>1054</v>
      </c>
      <c r="B426" s="15"/>
      <c r="C426" s="16" t="e">
        <f>IF([2]!Artículos4[[#This Row],[Proveedor (código)]]="","",VLOOKUP([2]!Artículos4[[#This Row],[Proveedor (código)]],[2]Proveedores!A:B,2,FALSE))</f>
        <v>#REF!</v>
      </c>
      <c r="D426" s="29" t="s">
        <v>467</v>
      </c>
      <c r="E426" s="29" t="s">
        <v>452</v>
      </c>
      <c r="F426" s="51"/>
      <c r="G426" s="14"/>
      <c r="H426" s="14"/>
      <c r="I426" s="14"/>
      <c r="J426" s="16">
        <f>SUMIFS(Entradas!G:G,Entradas!E:E,Artículos[[#This Row],[Código]])</f>
        <v>0</v>
      </c>
      <c r="K426" s="16">
        <f>SUMIFS(Salidas!G:G,Salidas!E:E,Artículos[[#This Row],[Código]])</f>
        <v>0</v>
      </c>
      <c r="L426" s="16">
        <f>Artículos[[#This Row],[Existencias iniciales]]+Artículos[[#This Row],[Entradas]]-Artículos[[#This Row],[Salidas]]</f>
        <v>0</v>
      </c>
      <c r="M426" s="16"/>
      <c r="N426" s="16"/>
    </row>
    <row r="427" spans="1:14" ht="14.4" customHeight="1" x14ac:dyDescent="0.3">
      <c r="A427" s="29" t="s">
        <v>1055</v>
      </c>
      <c r="B427" s="15"/>
      <c r="C427" s="16" t="e">
        <f>IF([2]!Artículos4[[#This Row],[Proveedor (código)]]="","",VLOOKUP([2]!Artículos4[[#This Row],[Proveedor (código)]],[2]Proveedores!A:B,2,FALSE))</f>
        <v>#REF!</v>
      </c>
      <c r="D427" s="29" t="s">
        <v>468</v>
      </c>
      <c r="E427" s="29" t="s">
        <v>452</v>
      </c>
      <c r="F427" s="51"/>
      <c r="G427" s="14"/>
      <c r="H427" s="14"/>
      <c r="I427" s="14"/>
      <c r="J427" s="16">
        <f>SUMIFS(Entradas!G:G,Entradas!E:E,Artículos[[#This Row],[Código]])</f>
        <v>0</v>
      </c>
      <c r="K427" s="16">
        <f>SUMIFS(Salidas!G:G,Salidas!E:E,Artículos[[#This Row],[Código]])</f>
        <v>0</v>
      </c>
      <c r="L427" s="16">
        <f>Artículos[[#This Row],[Existencias iniciales]]+Artículos[[#This Row],[Entradas]]-Artículos[[#This Row],[Salidas]]</f>
        <v>0</v>
      </c>
      <c r="M427" s="16"/>
      <c r="N427" s="16"/>
    </row>
    <row r="428" spans="1:14" ht="14.4" customHeight="1" x14ac:dyDescent="0.3">
      <c r="A428" s="29" t="s">
        <v>1056</v>
      </c>
      <c r="B428" s="15"/>
      <c r="C428" s="16" t="e">
        <f>IF([2]!Artículos4[[#This Row],[Proveedor (código)]]="","",VLOOKUP([2]!Artículos4[[#This Row],[Proveedor (código)]],[2]Proveedores!A:B,2,FALSE))</f>
        <v>#REF!</v>
      </c>
      <c r="D428" s="29" t="s">
        <v>469</v>
      </c>
      <c r="E428" s="29" t="s">
        <v>452</v>
      </c>
      <c r="F428" s="51"/>
      <c r="G428" s="14"/>
      <c r="H428" s="14"/>
      <c r="I428" s="14">
        <v>8</v>
      </c>
      <c r="J428" s="16">
        <f>SUMIFS(Entradas!G:G,Entradas!E:E,Artículos[[#This Row],[Código]])</f>
        <v>0</v>
      </c>
      <c r="K428" s="16">
        <f>SUMIFS(Salidas!G:G,Salidas!E:E,Artículos[[#This Row],[Código]])</f>
        <v>0</v>
      </c>
      <c r="L428" s="16">
        <f>Artículos[[#This Row],[Existencias iniciales]]+Artículos[[#This Row],[Entradas]]-Artículos[[#This Row],[Salidas]]</f>
        <v>8</v>
      </c>
      <c r="M428" s="16"/>
      <c r="N428" s="16"/>
    </row>
    <row r="429" spans="1:14" ht="14.4" customHeight="1" x14ac:dyDescent="0.3">
      <c r="A429" s="29" t="s">
        <v>1057</v>
      </c>
      <c r="B429" s="15"/>
      <c r="C429" s="16" t="e">
        <f>IF([2]!Artículos4[[#This Row],[Proveedor (código)]]="","",VLOOKUP([2]!Artículos4[[#This Row],[Proveedor (código)]],[2]Proveedores!A:B,2,FALSE))</f>
        <v>#REF!</v>
      </c>
      <c r="D429" s="29" t="s">
        <v>470</v>
      </c>
      <c r="E429" s="29" t="s">
        <v>452</v>
      </c>
      <c r="F429" s="51"/>
      <c r="G429" s="14"/>
      <c r="H429" s="14"/>
      <c r="I429" s="14"/>
      <c r="J429" s="16">
        <f>SUMIFS(Entradas!G:G,Entradas!E:E,Artículos[[#This Row],[Código]])</f>
        <v>0</v>
      </c>
      <c r="K429" s="16">
        <f>SUMIFS(Salidas!G:G,Salidas!E:E,Artículos[[#This Row],[Código]])</f>
        <v>0</v>
      </c>
      <c r="L429" s="16">
        <f>Artículos[[#This Row],[Existencias iniciales]]+Artículos[[#This Row],[Entradas]]-Artículos[[#This Row],[Salidas]]</f>
        <v>0</v>
      </c>
      <c r="M429" s="16"/>
      <c r="N429" s="16"/>
    </row>
    <row r="430" spans="1:14" ht="14.4" hidden="1" customHeight="1" x14ac:dyDescent="0.3">
      <c r="A430" s="29" t="s">
        <v>1058</v>
      </c>
      <c r="B430" s="15"/>
      <c r="C430" s="16" t="e">
        <f>IF([2]!Artículos4[[#This Row],[Proveedor (código)]]="","",VLOOKUP([2]!Artículos4[[#This Row],[Proveedor (código)]],[2]Proveedores!A:B,2,FALSE))</f>
        <v>#REF!</v>
      </c>
      <c r="D430" s="29" t="s">
        <v>471</v>
      </c>
      <c r="E430" s="29" t="s">
        <v>452</v>
      </c>
      <c r="F430" s="51">
        <v>2.0299999999999998</v>
      </c>
      <c r="G430" s="14"/>
      <c r="H430" s="14"/>
      <c r="I430" s="14"/>
      <c r="J430" s="16">
        <f>SUMIFS(Entradas!G:G,Entradas!E:E,Artículos[[#This Row],[Código]])</f>
        <v>120</v>
      </c>
      <c r="K430" s="16">
        <f>SUMIFS(Salidas!G:G,Salidas!E:E,Artículos[[#This Row],[Código]])</f>
        <v>0</v>
      </c>
      <c r="L430" s="16">
        <f>Artículos[[#This Row],[Existencias iniciales]]+Artículos[[#This Row],[Entradas]]-Artículos[[#This Row],[Salidas]]</f>
        <v>120</v>
      </c>
      <c r="M430" s="16"/>
      <c r="N430" s="16"/>
    </row>
    <row r="431" spans="1:14" ht="14.4" hidden="1" customHeight="1" x14ac:dyDescent="0.3">
      <c r="A431" s="29" t="s">
        <v>1059</v>
      </c>
      <c r="B431" s="15"/>
      <c r="C431" s="16" t="e">
        <f>IF([2]!Artículos4[[#This Row],[Proveedor (código)]]="","",VLOOKUP([2]!Artículos4[[#This Row],[Proveedor (código)]],[2]Proveedores!A:B,2,FALSE))</f>
        <v>#REF!</v>
      </c>
      <c r="D431" s="29" t="s">
        <v>472</v>
      </c>
      <c r="E431" s="29" t="s">
        <v>452</v>
      </c>
      <c r="F431" s="51">
        <v>4.57</v>
      </c>
      <c r="G431" s="14"/>
      <c r="H431" s="14"/>
      <c r="I431" s="14"/>
      <c r="J431" s="16">
        <f>SUMIFS(Entradas!G:G,Entradas!E:E,Artículos[[#This Row],[Código]])</f>
        <v>3</v>
      </c>
      <c r="K431" s="16">
        <f>SUMIFS(Salidas!G:G,Salidas!E:E,Artículos[[#This Row],[Código]])</f>
        <v>2</v>
      </c>
      <c r="L431" s="16">
        <f>Artículos[[#This Row],[Existencias iniciales]]+Artículos[[#This Row],[Entradas]]-Artículos[[#This Row],[Salidas]]</f>
        <v>1</v>
      </c>
      <c r="M431" s="16"/>
      <c r="N431" s="16"/>
    </row>
    <row r="432" spans="1:14" ht="14.4" hidden="1" customHeight="1" x14ac:dyDescent="0.3">
      <c r="A432" s="29" t="s">
        <v>1060</v>
      </c>
      <c r="B432" s="15"/>
      <c r="C432" s="16" t="e">
        <f>IF([2]!Artículos4[[#This Row],[Proveedor (código)]]="","",VLOOKUP([2]!Artículos4[[#This Row],[Proveedor (código)]],[2]Proveedores!A:B,2,FALSE))</f>
        <v>#REF!</v>
      </c>
      <c r="D432" s="29" t="s">
        <v>473</v>
      </c>
      <c r="E432" s="29" t="s">
        <v>452</v>
      </c>
      <c r="F432" s="51"/>
      <c r="G432" s="14"/>
      <c r="H432" s="14"/>
      <c r="I432" s="14"/>
      <c r="J432" s="16">
        <f>SUMIFS(Entradas!G:G,Entradas!E:E,Artículos[[#This Row],[Código]])</f>
        <v>36</v>
      </c>
      <c r="K432" s="16">
        <f>SUMIFS(Salidas!G:G,Salidas!E:E,Artículos[[#This Row],[Código]])</f>
        <v>0</v>
      </c>
      <c r="L432" s="16">
        <f>Artículos[[#This Row],[Existencias iniciales]]+Artículos[[#This Row],[Entradas]]-Artículos[[#This Row],[Salidas]]</f>
        <v>36</v>
      </c>
      <c r="M432" s="16"/>
      <c r="N432" s="16"/>
    </row>
    <row r="433" spans="1:14" ht="14.4" customHeight="1" x14ac:dyDescent="0.3">
      <c r="A433" s="29" t="s">
        <v>1061</v>
      </c>
      <c r="B433" s="15"/>
      <c r="C433" s="16" t="e">
        <f>IF([2]!Artículos4[[#This Row],[Proveedor (código)]]="","",VLOOKUP([2]!Artículos4[[#This Row],[Proveedor (código)]],[2]Proveedores!A:B,2,FALSE))</f>
        <v>#REF!</v>
      </c>
      <c r="D433" s="29" t="s">
        <v>474</v>
      </c>
      <c r="E433" s="29" t="s">
        <v>452</v>
      </c>
      <c r="F433" s="51"/>
      <c r="G433" s="14"/>
      <c r="H433" s="14"/>
      <c r="I433" s="14"/>
      <c r="J433" s="16">
        <f>SUMIFS(Entradas!G:G,Entradas!E:E,Artículos[[#This Row],[Código]])</f>
        <v>0</v>
      </c>
      <c r="K433" s="16">
        <f>SUMIFS(Salidas!G:G,Salidas!E:E,Artículos[[#This Row],[Código]])</f>
        <v>0</v>
      </c>
      <c r="L433" s="16">
        <f>Artículos[[#This Row],[Existencias iniciales]]+Artículos[[#This Row],[Entradas]]-Artículos[[#This Row],[Salidas]]</f>
        <v>0</v>
      </c>
      <c r="M433" s="16"/>
      <c r="N433" s="16"/>
    </row>
    <row r="434" spans="1:14" ht="14.4" hidden="1" customHeight="1" x14ac:dyDescent="0.3">
      <c r="A434" s="29" t="s">
        <v>1251</v>
      </c>
      <c r="B434" s="15"/>
      <c r="C434" s="16" t="e">
        <f>IF([2]!Artículos4[[#This Row],[Proveedor (código)]]="","",VLOOKUP([2]!Artículos4[[#This Row],[Proveedor (código)]],[2]Proveedores!A:B,2,FALSE))</f>
        <v>#REF!</v>
      </c>
      <c r="D434" s="29" t="s">
        <v>475</v>
      </c>
      <c r="E434" s="29" t="s">
        <v>476</v>
      </c>
      <c r="F434" s="51"/>
      <c r="G434" s="14"/>
      <c r="H434" s="14"/>
      <c r="I434" s="14"/>
      <c r="J434" s="16">
        <f>SUMIFS(Entradas!G:G,Entradas!E:E,Artículos[[#This Row],[Código]])</f>
        <v>0</v>
      </c>
      <c r="K434" s="16">
        <f>SUMIFS(Salidas!G:G,Salidas!E:E,Artículos[[#This Row],[Código]])</f>
        <v>0</v>
      </c>
      <c r="L434" s="16">
        <f>Artículos[[#This Row],[Existencias iniciales]]+Artículos[[#This Row],[Entradas]]-Artículos[[#This Row],[Salidas]]</f>
        <v>0</v>
      </c>
      <c r="M434" s="16"/>
      <c r="N434" s="16"/>
    </row>
    <row r="435" spans="1:14" ht="14.4" hidden="1" customHeight="1" x14ac:dyDescent="0.3">
      <c r="A435" s="29" t="s">
        <v>1252</v>
      </c>
      <c r="B435" s="15"/>
      <c r="C435" s="16" t="e">
        <f>IF([2]!Artículos4[[#This Row],[Proveedor (código)]]="","",VLOOKUP([2]!Artículos4[[#This Row],[Proveedor (código)]],[2]Proveedores!A:B,2,FALSE))</f>
        <v>#REF!</v>
      </c>
      <c r="D435" s="29" t="s">
        <v>477</v>
      </c>
      <c r="E435" s="29" t="s">
        <v>476</v>
      </c>
      <c r="F435" s="51"/>
      <c r="G435" s="14"/>
      <c r="H435" s="14"/>
      <c r="I435" s="14"/>
      <c r="J435" s="16">
        <f>SUMIFS(Entradas!G:G,Entradas!E:E,Artículos[[#This Row],[Código]])</f>
        <v>0</v>
      </c>
      <c r="K435" s="16">
        <f>SUMIFS(Salidas!G:G,Salidas!E:E,Artículos[[#This Row],[Código]])</f>
        <v>0</v>
      </c>
      <c r="L435" s="16">
        <f>Artículos[[#This Row],[Existencias iniciales]]+Artículos[[#This Row],[Entradas]]-Artículos[[#This Row],[Salidas]]</f>
        <v>0</v>
      </c>
      <c r="M435" s="16"/>
      <c r="N435" s="16"/>
    </row>
    <row r="436" spans="1:14" ht="14.4" hidden="1" customHeight="1" x14ac:dyDescent="0.3">
      <c r="A436" s="29" t="s">
        <v>1253</v>
      </c>
      <c r="B436" s="15"/>
      <c r="C436" s="16" t="e">
        <f>IF([2]!Artículos4[[#This Row],[Proveedor (código)]]="","",VLOOKUP([2]!Artículos4[[#This Row],[Proveedor (código)]],[2]Proveedores!A:B,2,FALSE))</f>
        <v>#REF!</v>
      </c>
      <c r="D436" s="29" t="s">
        <v>478</v>
      </c>
      <c r="E436" s="29" t="s">
        <v>476</v>
      </c>
      <c r="F436" s="51"/>
      <c r="G436" s="14"/>
      <c r="H436" s="14"/>
      <c r="I436" s="14"/>
      <c r="J436" s="16">
        <f>SUMIFS(Entradas!G:G,Entradas!E:E,Artículos[[#This Row],[Código]])</f>
        <v>0</v>
      </c>
      <c r="K436" s="16">
        <f>SUMIFS(Salidas!G:G,Salidas!E:E,Artículos[[#This Row],[Código]])</f>
        <v>0</v>
      </c>
      <c r="L436" s="16">
        <f>Artículos[[#This Row],[Existencias iniciales]]+Artículos[[#This Row],[Entradas]]-Artículos[[#This Row],[Salidas]]</f>
        <v>0</v>
      </c>
      <c r="M436" s="16"/>
      <c r="N436" s="16"/>
    </row>
    <row r="437" spans="1:14" ht="14.4" hidden="1" customHeight="1" x14ac:dyDescent="0.3">
      <c r="A437" s="29" t="s">
        <v>1254</v>
      </c>
      <c r="B437" s="15"/>
      <c r="C437" s="16" t="e">
        <f>IF([2]!Artículos4[[#This Row],[Proveedor (código)]]="","",VLOOKUP([2]!Artículos4[[#This Row],[Proveedor (código)]],[2]Proveedores!A:B,2,FALSE))</f>
        <v>#REF!</v>
      </c>
      <c r="D437" s="29" t="s">
        <v>479</v>
      </c>
      <c r="E437" s="29" t="s">
        <v>476</v>
      </c>
      <c r="F437" s="51"/>
      <c r="G437" s="14"/>
      <c r="H437" s="14"/>
      <c r="I437" s="14"/>
      <c r="J437" s="16">
        <f>SUMIFS(Entradas!G:G,Entradas!E:E,Artículos[[#This Row],[Código]])</f>
        <v>0</v>
      </c>
      <c r="K437" s="16">
        <f>SUMIFS(Salidas!G:G,Salidas!E:E,Artículos[[#This Row],[Código]])</f>
        <v>0</v>
      </c>
      <c r="L437" s="16">
        <f>Artículos[[#This Row],[Existencias iniciales]]+Artículos[[#This Row],[Entradas]]-Artículos[[#This Row],[Salidas]]</f>
        <v>0</v>
      </c>
      <c r="M437" s="16"/>
      <c r="N437" s="16"/>
    </row>
    <row r="438" spans="1:14" ht="14.4" hidden="1" customHeight="1" x14ac:dyDescent="0.3">
      <c r="A438" s="29" t="s">
        <v>1255</v>
      </c>
      <c r="B438" s="15"/>
      <c r="C438" s="16" t="e">
        <f>IF([2]!Artículos4[[#This Row],[Proveedor (código)]]="","",VLOOKUP([2]!Artículos4[[#This Row],[Proveedor (código)]],[2]Proveedores!A:B,2,FALSE))</f>
        <v>#REF!</v>
      </c>
      <c r="D438" s="29" t="s">
        <v>480</v>
      </c>
      <c r="E438" s="29" t="s">
        <v>476</v>
      </c>
      <c r="F438" s="51"/>
      <c r="G438" s="14"/>
      <c r="H438" s="14"/>
      <c r="I438" s="14"/>
      <c r="J438" s="16">
        <f>SUMIFS(Entradas!G:G,Entradas!E:E,Artículos[[#This Row],[Código]])</f>
        <v>0</v>
      </c>
      <c r="K438" s="16">
        <f>SUMIFS(Salidas!G:G,Salidas!E:E,Artículos[[#This Row],[Código]])</f>
        <v>0</v>
      </c>
      <c r="L438" s="16">
        <f>Artículos[[#This Row],[Existencias iniciales]]+Artículos[[#This Row],[Entradas]]-Artículos[[#This Row],[Salidas]]</f>
        <v>0</v>
      </c>
      <c r="M438" s="16"/>
      <c r="N438" s="16"/>
    </row>
    <row r="439" spans="1:14" ht="14.4" hidden="1" customHeight="1" x14ac:dyDescent="0.3">
      <c r="A439" s="29" t="s">
        <v>1256</v>
      </c>
      <c r="B439" s="15"/>
      <c r="C439" s="16" t="e">
        <f>IF([2]!Artículos4[[#This Row],[Proveedor (código)]]="","",VLOOKUP([2]!Artículos4[[#This Row],[Proveedor (código)]],[2]Proveedores!A:B,2,FALSE))</f>
        <v>#REF!</v>
      </c>
      <c r="D439" s="29" t="s">
        <v>481</v>
      </c>
      <c r="E439" s="29" t="s">
        <v>476</v>
      </c>
      <c r="F439" s="51"/>
      <c r="G439" s="14"/>
      <c r="H439" s="14"/>
      <c r="I439" s="14"/>
      <c r="J439" s="16">
        <f>SUMIFS(Entradas!G:G,Entradas!E:E,Artículos[[#This Row],[Código]])</f>
        <v>48</v>
      </c>
      <c r="K439" s="16">
        <f>SUMIFS(Salidas!G:G,Salidas!E:E,Artículos[[#This Row],[Código]])</f>
        <v>0</v>
      </c>
      <c r="L439" s="16">
        <f>Artículos[[#This Row],[Existencias iniciales]]+Artículos[[#This Row],[Entradas]]-Artículos[[#This Row],[Salidas]]</f>
        <v>48</v>
      </c>
      <c r="M439" s="16"/>
      <c r="N439" s="16"/>
    </row>
    <row r="440" spans="1:14" ht="14.4" hidden="1" customHeight="1" x14ac:dyDescent="0.3">
      <c r="A440" s="29" t="s">
        <v>1257</v>
      </c>
      <c r="B440" s="15"/>
      <c r="C440" s="16" t="e">
        <f>IF([2]!Artículos4[[#This Row],[Proveedor (código)]]="","",VLOOKUP([2]!Artículos4[[#This Row],[Proveedor (código)]],[2]Proveedores!A:B,2,FALSE))</f>
        <v>#REF!</v>
      </c>
      <c r="D440" s="29" t="s">
        <v>482</v>
      </c>
      <c r="E440" s="29" t="s">
        <v>476</v>
      </c>
      <c r="F440" s="51"/>
      <c r="G440" s="14"/>
      <c r="H440" s="14"/>
      <c r="I440" s="14"/>
      <c r="J440" s="16">
        <f>SUMIFS(Entradas!G:G,Entradas!E:E,Artículos[[#This Row],[Código]])</f>
        <v>0</v>
      </c>
      <c r="K440" s="16">
        <f>SUMIFS(Salidas!G:G,Salidas!E:E,Artículos[[#This Row],[Código]])</f>
        <v>0</v>
      </c>
      <c r="L440" s="16">
        <f>Artículos[[#This Row],[Existencias iniciales]]+Artículos[[#This Row],[Entradas]]-Artículos[[#This Row],[Salidas]]</f>
        <v>0</v>
      </c>
      <c r="M440" s="16"/>
      <c r="N440" s="16"/>
    </row>
    <row r="441" spans="1:14" ht="14.4" hidden="1" customHeight="1" x14ac:dyDescent="0.3">
      <c r="A441" s="29" t="s">
        <v>1258</v>
      </c>
      <c r="B441" s="15"/>
      <c r="C441" s="16" t="e">
        <f>IF([2]!Artículos4[[#This Row],[Proveedor (código)]]="","",VLOOKUP([2]!Artículos4[[#This Row],[Proveedor (código)]],[2]Proveedores!A:B,2,FALSE))</f>
        <v>#REF!</v>
      </c>
      <c r="D441" s="29" t="s">
        <v>483</v>
      </c>
      <c r="E441" s="29" t="s">
        <v>476</v>
      </c>
      <c r="F441" s="51"/>
      <c r="G441" s="14"/>
      <c r="H441" s="14"/>
      <c r="I441" s="14"/>
      <c r="J441" s="16">
        <f>SUMIFS(Entradas!G:G,Entradas!E:E,Artículos[[#This Row],[Código]])</f>
        <v>0</v>
      </c>
      <c r="K441" s="16">
        <f>SUMIFS(Salidas!G:G,Salidas!E:E,Artículos[[#This Row],[Código]])</f>
        <v>0</v>
      </c>
      <c r="L441" s="16">
        <f>Artículos[[#This Row],[Existencias iniciales]]+Artículos[[#This Row],[Entradas]]-Artículos[[#This Row],[Salidas]]</f>
        <v>0</v>
      </c>
      <c r="M441" s="16"/>
      <c r="N441" s="16"/>
    </row>
    <row r="442" spans="1:14" ht="14.4" hidden="1" customHeight="1" x14ac:dyDescent="0.3">
      <c r="A442" s="29" t="s">
        <v>1259</v>
      </c>
      <c r="B442" s="15"/>
      <c r="C442" s="16" t="e">
        <f>IF([2]!Artículos4[[#This Row],[Proveedor (código)]]="","",VLOOKUP([2]!Artículos4[[#This Row],[Proveedor (código)]],[2]Proveedores!A:B,2,FALSE))</f>
        <v>#REF!</v>
      </c>
      <c r="D442" s="29" t="s">
        <v>484</v>
      </c>
      <c r="E442" s="29" t="s">
        <v>476</v>
      </c>
      <c r="F442" s="51"/>
      <c r="G442" s="14"/>
      <c r="H442" s="14"/>
      <c r="I442" s="14"/>
      <c r="J442" s="16">
        <f>SUMIFS(Entradas!G:G,Entradas!E:E,Artículos[[#This Row],[Código]])</f>
        <v>0</v>
      </c>
      <c r="K442" s="16">
        <f>SUMIFS(Salidas!G:G,Salidas!E:E,Artículos[[#This Row],[Código]])</f>
        <v>0</v>
      </c>
      <c r="L442" s="16">
        <f>Artículos[[#This Row],[Existencias iniciales]]+Artículos[[#This Row],[Entradas]]-Artículos[[#This Row],[Salidas]]</f>
        <v>0</v>
      </c>
      <c r="M442" s="16"/>
      <c r="N442" s="16"/>
    </row>
    <row r="443" spans="1:14" ht="14.4" hidden="1" customHeight="1" x14ac:dyDescent="0.3">
      <c r="A443" s="29" t="s">
        <v>1260</v>
      </c>
      <c r="B443" s="15"/>
      <c r="C443" s="16" t="e">
        <f>IF([2]!Artículos4[[#This Row],[Proveedor (código)]]="","",VLOOKUP([2]!Artículos4[[#This Row],[Proveedor (código)]],[2]Proveedores!A:B,2,FALSE))</f>
        <v>#REF!</v>
      </c>
      <c r="D443" s="29" t="s">
        <v>485</v>
      </c>
      <c r="E443" s="29" t="s">
        <v>476</v>
      </c>
      <c r="F443" s="51"/>
      <c r="G443" s="14"/>
      <c r="H443" s="14"/>
      <c r="I443" s="14"/>
      <c r="J443" s="16">
        <f>SUMIFS(Entradas!G:G,Entradas!E:E,Artículos[[#This Row],[Código]])</f>
        <v>0</v>
      </c>
      <c r="K443" s="16">
        <f>SUMIFS(Salidas!G:G,Salidas!E:E,Artículos[[#This Row],[Código]])</f>
        <v>0</v>
      </c>
      <c r="L443" s="16">
        <f>Artículos[[#This Row],[Existencias iniciales]]+Artículos[[#This Row],[Entradas]]-Artículos[[#This Row],[Salidas]]</f>
        <v>0</v>
      </c>
      <c r="M443" s="16"/>
      <c r="N443" s="16"/>
    </row>
    <row r="444" spans="1:14" ht="14.4" hidden="1" customHeight="1" x14ac:dyDescent="0.3">
      <c r="A444" s="29" t="s">
        <v>1261</v>
      </c>
      <c r="B444" s="15"/>
      <c r="C444" s="16" t="e">
        <f>IF([2]!Artículos4[[#This Row],[Proveedor (código)]]="","",VLOOKUP([2]!Artículos4[[#This Row],[Proveedor (código)]],[2]Proveedores!A:B,2,FALSE))</f>
        <v>#REF!</v>
      </c>
      <c r="D444" s="29" t="s">
        <v>486</v>
      </c>
      <c r="E444" s="29" t="s">
        <v>476</v>
      </c>
      <c r="F444" s="51"/>
      <c r="G444" s="14"/>
      <c r="H444" s="14"/>
      <c r="I444" s="14">
        <v>3</v>
      </c>
      <c r="J444" s="16">
        <f>SUMIFS(Entradas!G:G,Entradas!E:E,Artículos[[#This Row],[Código]])</f>
        <v>0</v>
      </c>
      <c r="K444" s="16">
        <f>SUMIFS(Salidas!G:G,Salidas!E:E,Artículos[[#This Row],[Código]])</f>
        <v>0</v>
      </c>
      <c r="L444" s="16">
        <f>Artículos[[#This Row],[Existencias iniciales]]+Artículos[[#This Row],[Entradas]]-Artículos[[#This Row],[Salidas]]</f>
        <v>3</v>
      </c>
      <c r="M444" s="16"/>
      <c r="N444" s="16"/>
    </row>
    <row r="445" spans="1:14" ht="14.4" hidden="1" customHeight="1" x14ac:dyDescent="0.3">
      <c r="A445" s="29" t="s">
        <v>1262</v>
      </c>
      <c r="B445" s="15"/>
      <c r="C445" s="16" t="e">
        <f>IF([2]!Artículos4[[#This Row],[Proveedor (código)]]="","",VLOOKUP([2]!Artículos4[[#This Row],[Proveedor (código)]],[2]Proveedores!A:B,2,FALSE))</f>
        <v>#REF!</v>
      </c>
      <c r="D445" s="29" t="s">
        <v>487</v>
      </c>
      <c r="E445" s="29" t="s">
        <v>476</v>
      </c>
      <c r="F445" s="51"/>
      <c r="G445" s="14"/>
      <c r="H445" s="14"/>
      <c r="I445" s="14"/>
      <c r="J445" s="16">
        <f>SUMIFS(Entradas!G:G,Entradas!E:E,Artículos[[#This Row],[Código]])</f>
        <v>0</v>
      </c>
      <c r="K445" s="16">
        <f>SUMIFS(Salidas!G:G,Salidas!E:E,Artículos[[#This Row],[Código]])</f>
        <v>0</v>
      </c>
      <c r="L445" s="16">
        <f>Artículos[[#This Row],[Existencias iniciales]]+Artículos[[#This Row],[Entradas]]-Artículos[[#This Row],[Salidas]]</f>
        <v>0</v>
      </c>
      <c r="M445" s="16"/>
      <c r="N445" s="16"/>
    </row>
    <row r="446" spans="1:14" ht="14.4" hidden="1" customHeight="1" x14ac:dyDescent="0.3">
      <c r="A446" s="29" t="s">
        <v>1263</v>
      </c>
      <c r="B446" s="15"/>
      <c r="C446" s="16" t="e">
        <f>IF([2]!Artículos4[[#This Row],[Proveedor (código)]]="","",VLOOKUP([2]!Artículos4[[#This Row],[Proveedor (código)]],[2]Proveedores!A:B,2,FALSE))</f>
        <v>#REF!</v>
      </c>
      <c r="D446" s="29" t="s">
        <v>488</v>
      </c>
      <c r="E446" s="29" t="s">
        <v>476</v>
      </c>
      <c r="F446" s="51"/>
      <c r="G446" s="14"/>
      <c r="H446" s="14"/>
      <c r="I446" s="14"/>
      <c r="J446" s="16">
        <f>SUMIFS(Entradas!G:G,Entradas!E:E,Artículos[[#This Row],[Código]])</f>
        <v>0</v>
      </c>
      <c r="K446" s="16">
        <f>SUMIFS(Salidas!G:G,Salidas!E:E,Artículos[[#This Row],[Código]])</f>
        <v>0</v>
      </c>
      <c r="L446" s="16">
        <f>Artículos[[#This Row],[Existencias iniciales]]+Artículos[[#This Row],[Entradas]]-Artículos[[#This Row],[Salidas]]</f>
        <v>0</v>
      </c>
      <c r="M446" s="16"/>
      <c r="N446" s="16"/>
    </row>
    <row r="447" spans="1:14" ht="14.4" hidden="1" customHeight="1" x14ac:dyDescent="0.3">
      <c r="A447" s="29" t="s">
        <v>1264</v>
      </c>
      <c r="B447" s="15"/>
      <c r="C447" s="16" t="e">
        <f>IF([2]!Artículos4[[#This Row],[Proveedor (código)]]="","",VLOOKUP([2]!Artículos4[[#This Row],[Proveedor (código)]],[2]Proveedores!A:B,2,FALSE))</f>
        <v>#REF!</v>
      </c>
      <c r="D447" s="29" t="s">
        <v>489</v>
      </c>
      <c r="E447" s="29" t="s">
        <v>476</v>
      </c>
      <c r="F447" s="51"/>
      <c r="G447" s="14"/>
      <c r="H447" s="14"/>
      <c r="I447" s="14"/>
      <c r="J447" s="16">
        <f>SUMIFS(Entradas!G:G,Entradas!E:E,Artículos[[#This Row],[Código]])</f>
        <v>0</v>
      </c>
      <c r="K447" s="16">
        <f>SUMIFS(Salidas!G:G,Salidas!E:E,Artículos[[#This Row],[Código]])</f>
        <v>0</v>
      </c>
      <c r="L447" s="16">
        <f>Artículos[[#This Row],[Existencias iniciales]]+Artículos[[#This Row],[Entradas]]-Artículos[[#This Row],[Salidas]]</f>
        <v>0</v>
      </c>
      <c r="M447" s="16"/>
      <c r="N447" s="16"/>
    </row>
    <row r="448" spans="1:14" ht="14.4" hidden="1" customHeight="1" x14ac:dyDescent="0.3">
      <c r="A448" s="29" t="s">
        <v>1265</v>
      </c>
      <c r="B448" s="15"/>
      <c r="C448" s="16" t="e">
        <f>IF([2]!Artículos4[[#This Row],[Proveedor (código)]]="","",VLOOKUP([2]!Artículos4[[#This Row],[Proveedor (código)]],[2]Proveedores!A:B,2,FALSE))</f>
        <v>#REF!</v>
      </c>
      <c r="D448" s="29" t="s">
        <v>490</v>
      </c>
      <c r="E448" s="29" t="s">
        <v>476</v>
      </c>
      <c r="F448" s="51"/>
      <c r="G448" s="14"/>
      <c r="H448" s="14"/>
      <c r="I448" s="14"/>
      <c r="J448" s="16">
        <f>SUMIFS(Entradas!G:G,Entradas!E:E,Artículos[[#This Row],[Código]])</f>
        <v>0</v>
      </c>
      <c r="K448" s="16">
        <f>SUMIFS(Salidas!G:G,Salidas!E:E,Artículos[[#This Row],[Código]])</f>
        <v>0</v>
      </c>
      <c r="L448" s="16">
        <f>Artículos[[#This Row],[Existencias iniciales]]+Artículos[[#This Row],[Entradas]]-Artículos[[#This Row],[Salidas]]</f>
        <v>0</v>
      </c>
      <c r="M448" s="16"/>
      <c r="N448" s="16"/>
    </row>
    <row r="449" spans="1:14" ht="14.4" hidden="1" customHeight="1" x14ac:dyDescent="0.3">
      <c r="A449" s="29" t="s">
        <v>1266</v>
      </c>
      <c r="B449" s="15"/>
      <c r="C449" s="16" t="e">
        <f>IF([2]!Artículos4[[#This Row],[Proveedor (código)]]="","",VLOOKUP([2]!Artículos4[[#This Row],[Proveedor (código)]],[2]Proveedores!A:B,2,FALSE))</f>
        <v>#REF!</v>
      </c>
      <c r="D449" s="29"/>
      <c r="E449" s="29" t="s">
        <v>476</v>
      </c>
      <c r="F449" s="51"/>
      <c r="G449" s="14"/>
      <c r="H449" s="14"/>
      <c r="I449" s="14"/>
      <c r="J449" s="16">
        <f>SUMIFS(Entradas!G:G,Entradas!E:E,Artículos[[#This Row],[Código]])</f>
        <v>0</v>
      </c>
      <c r="K449" s="16">
        <f>SUMIFS(Salidas!G:G,Salidas!E:E,Artículos[[#This Row],[Código]])</f>
        <v>0</v>
      </c>
      <c r="L449" s="16">
        <f>Artículos[[#This Row],[Existencias iniciales]]+Artículos[[#This Row],[Entradas]]-Artículos[[#This Row],[Salidas]]</f>
        <v>0</v>
      </c>
      <c r="M449" s="16"/>
      <c r="N449" s="16"/>
    </row>
    <row r="450" spans="1:14" ht="14.4" hidden="1" customHeight="1" x14ac:dyDescent="0.3">
      <c r="A450" s="29" t="s">
        <v>1267</v>
      </c>
      <c r="B450" s="15"/>
      <c r="C450" s="16" t="e">
        <f>IF([2]!Artículos4[[#This Row],[Proveedor (código)]]="","",VLOOKUP([2]!Artículos4[[#This Row],[Proveedor (código)]],[2]Proveedores!A:B,2,FALSE))</f>
        <v>#REF!</v>
      </c>
      <c r="D450" s="29"/>
      <c r="E450" s="29" t="s">
        <v>476</v>
      </c>
      <c r="F450" s="51"/>
      <c r="G450" s="14"/>
      <c r="H450" s="14"/>
      <c r="I450" s="14"/>
      <c r="J450" s="16">
        <f>SUMIFS(Entradas!G:G,Entradas!E:E,Artículos[[#This Row],[Código]])</f>
        <v>0</v>
      </c>
      <c r="K450" s="16">
        <f>SUMIFS(Salidas!G:G,Salidas!E:E,Artículos[[#This Row],[Código]])</f>
        <v>0</v>
      </c>
      <c r="L450" s="16">
        <f>Artículos[[#This Row],[Existencias iniciales]]+Artículos[[#This Row],[Entradas]]-Artículos[[#This Row],[Salidas]]</f>
        <v>0</v>
      </c>
      <c r="M450" s="16"/>
      <c r="N450" s="16"/>
    </row>
    <row r="451" spans="1:14" ht="14.4" hidden="1" customHeight="1" x14ac:dyDescent="0.3">
      <c r="A451" s="29" t="s">
        <v>1268</v>
      </c>
      <c r="B451" s="15"/>
      <c r="C451" s="16" t="e">
        <f>IF([2]!Artículos4[[#This Row],[Proveedor (código)]]="","",VLOOKUP([2]!Artículos4[[#This Row],[Proveedor (código)]],[2]Proveedores!A:B,2,FALSE))</f>
        <v>#REF!</v>
      </c>
      <c r="D451" s="29"/>
      <c r="E451" s="29" t="s">
        <v>476</v>
      </c>
      <c r="F451" s="51"/>
      <c r="G451" s="14"/>
      <c r="H451" s="14"/>
      <c r="I451" s="14"/>
      <c r="J451" s="16">
        <f>SUMIFS(Entradas!G:G,Entradas!E:E,Artículos[[#This Row],[Código]])</f>
        <v>0</v>
      </c>
      <c r="K451" s="16">
        <f>SUMIFS(Salidas!G:G,Salidas!E:E,Artículos[[#This Row],[Código]])</f>
        <v>0</v>
      </c>
      <c r="L451" s="16">
        <f>Artículos[[#This Row],[Existencias iniciales]]+Artículos[[#This Row],[Entradas]]-Artículos[[#This Row],[Salidas]]</f>
        <v>0</v>
      </c>
      <c r="M451" s="16"/>
      <c r="N451" s="16"/>
    </row>
    <row r="452" spans="1:14" ht="14.4" hidden="1" customHeight="1" x14ac:dyDescent="0.3">
      <c r="A452" s="29" t="s">
        <v>1269</v>
      </c>
      <c r="B452" s="15"/>
      <c r="C452" s="16" t="e">
        <f>IF([2]!Artículos4[[#This Row],[Proveedor (código)]]="","",VLOOKUP([2]!Artículos4[[#This Row],[Proveedor (código)]],[2]Proveedores!A:B,2,FALSE))</f>
        <v>#REF!</v>
      </c>
      <c r="D452" s="29"/>
      <c r="E452" s="29" t="s">
        <v>476</v>
      </c>
      <c r="F452" s="51"/>
      <c r="G452" s="14"/>
      <c r="H452" s="14"/>
      <c r="I452" s="14"/>
      <c r="J452" s="16">
        <f>SUMIFS(Entradas!G:G,Entradas!E:E,Artículos[[#This Row],[Código]])</f>
        <v>0</v>
      </c>
      <c r="K452" s="16">
        <f>SUMIFS(Salidas!G:G,Salidas!E:E,Artículos[[#This Row],[Código]])</f>
        <v>0</v>
      </c>
      <c r="L452" s="16">
        <f>Artículos[[#This Row],[Existencias iniciales]]+Artículos[[#This Row],[Entradas]]-Artículos[[#This Row],[Salidas]]</f>
        <v>0</v>
      </c>
      <c r="M452" s="16"/>
      <c r="N452" s="16"/>
    </row>
    <row r="453" spans="1:14" ht="14.4" hidden="1" customHeight="1" x14ac:dyDescent="0.3">
      <c r="A453" s="29" t="s">
        <v>935</v>
      </c>
      <c r="B453" s="15"/>
      <c r="C453" s="16" t="e">
        <f>IF([2]!Artículos4[[#This Row],[Proveedor (código)]]="","",VLOOKUP([2]!Artículos4[[#This Row],[Proveedor (código)]],[2]Proveedores!A:B,2,FALSE))</f>
        <v>#REF!</v>
      </c>
      <c r="D453" s="29" t="s">
        <v>491</v>
      </c>
      <c r="E453" s="29" t="s">
        <v>492</v>
      </c>
      <c r="F453" s="51"/>
      <c r="G453" s="14"/>
      <c r="H453" s="14"/>
      <c r="I453" s="14">
        <v>2</v>
      </c>
      <c r="J453" s="16">
        <f>SUMIFS(Entradas!G:G,Entradas!E:E,Artículos[[#This Row],[Código]])</f>
        <v>0</v>
      </c>
      <c r="K453" s="16">
        <f>SUMIFS(Salidas!G:G,Salidas!E:E,Artículos[[#This Row],[Código]])</f>
        <v>0</v>
      </c>
      <c r="L453" s="16">
        <f>Artículos[[#This Row],[Existencias iniciales]]+Artículos[[#This Row],[Entradas]]-Artículos[[#This Row],[Salidas]]</f>
        <v>2</v>
      </c>
      <c r="M453" s="16"/>
      <c r="N453" s="16"/>
    </row>
    <row r="454" spans="1:14" ht="14.4" hidden="1" customHeight="1" x14ac:dyDescent="0.3">
      <c r="A454" s="29" t="s">
        <v>936</v>
      </c>
      <c r="B454" s="15"/>
      <c r="C454" s="16" t="e">
        <f>IF([2]!Artículos4[[#This Row],[Proveedor (código)]]="","",VLOOKUP([2]!Artículos4[[#This Row],[Proveedor (código)]],[2]Proveedores!A:B,2,FALSE))</f>
        <v>#REF!</v>
      </c>
      <c r="D454" s="29" t="s">
        <v>493</v>
      </c>
      <c r="E454" s="29" t="s">
        <v>492</v>
      </c>
      <c r="F454" s="51"/>
      <c r="G454" s="14"/>
      <c r="H454" s="14"/>
      <c r="I454" s="14"/>
      <c r="J454" s="16">
        <f>SUMIFS(Entradas!G:G,Entradas!E:E,Artículos[[#This Row],[Código]])</f>
        <v>0</v>
      </c>
      <c r="K454" s="16">
        <f>SUMIFS(Salidas!G:G,Salidas!E:E,Artículos[[#This Row],[Código]])</f>
        <v>0</v>
      </c>
      <c r="L454" s="16">
        <f>Artículos[[#This Row],[Existencias iniciales]]+Artículos[[#This Row],[Entradas]]-Artículos[[#This Row],[Salidas]]</f>
        <v>0</v>
      </c>
      <c r="M454" s="16"/>
      <c r="N454" s="16"/>
    </row>
    <row r="455" spans="1:14" ht="14.4" hidden="1" customHeight="1" x14ac:dyDescent="0.3">
      <c r="A455" s="29" t="s">
        <v>937</v>
      </c>
      <c r="B455" s="15"/>
      <c r="C455" s="16" t="e">
        <f>IF([2]!Artículos4[[#This Row],[Proveedor (código)]]="","",VLOOKUP([2]!Artículos4[[#This Row],[Proveedor (código)]],[2]Proveedores!A:B,2,FALSE))</f>
        <v>#REF!</v>
      </c>
      <c r="D455" s="29" t="s">
        <v>494</v>
      </c>
      <c r="E455" s="29" t="s">
        <v>492</v>
      </c>
      <c r="F455" s="51"/>
      <c r="G455" s="14"/>
      <c r="H455" s="14"/>
      <c r="I455" s="14"/>
      <c r="J455" s="16">
        <f>SUMIFS(Entradas!G:G,Entradas!E:E,Artículos[[#This Row],[Código]])</f>
        <v>0</v>
      </c>
      <c r="K455" s="16">
        <f>SUMIFS(Salidas!G:G,Salidas!E:E,Artículos[[#This Row],[Código]])</f>
        <v>0</v>
      </c>
      <c r="L455" s="16">
        <f>Artículos[[#This Row],[Existencias iniciales]]+Artículos[[#This Row],[Entradas]]-Artículos[[#This Row],[Salidas]]</f>
        <v>0</v>
      </c>
      <c r="M455" s="16"/>
      <c r="N455" s="16"/>
    </row>
    <row r="456" spans="1:14" ht="14.4" hidden="1" customHeight="1" x14ac:dyDescent="0.3">
      <c r="A456" s="29" t="s">
        <v>938</v>
      </c>
      <c r="B456" s="15"/>
      <c r="C456" s="16" t="e">
        <f>IF([2]!Artículos4[[#This Row],[Proveedor (código)]]="","",VLOOKUP([2]!Artículos4[[#This Row],[Proveedor (código)]],[2]Proveedores!A:B,2,FALSE))</f>
        <v>#REF!</v>
      </c>
      <c r="D456" s="29" t="s">
        <v>495</v>
      </c>
      <c r="E456" s="29" t="s">
        <v>492</v>
      </c>
      <c r="F456" s="51"/>
      <c r="G456" s="14"/>
      <c r="H456" s="14"/>
      <c r="I456" s="14"/>
      <c r="J456" s="16">
        <f>SUMIFS(Entradas!G:G,Entradas!E:E,Artículos[[#This Row],[Código]])</f>
        <v>0</v>
      </c>
      <c r="K456" s="16">
        <f>SUMIFS(Salidas!G:G,Salidas!E:E,Artículos[[#This Row],[Código]])</f>
        <v>0</v>
      </c>
      <c r="L456" s="16">
        <f>Artículos[[#This Row],[Existencias iniciales]]+Artículos[[#This Row],[Entradas]]-Artículos[[#This Row],[Salidas]]</f>
        <v>0</v>
      </c>
      <c r="M456" s="16"/>
      <c r="N456" s="16"/>
    </row>
    <row r="457" spans="1:14" ht="14.4" hidden="1" customHeight="1" x14ac:dyDescent="0.3">
      <c r="A457" s="29" t="s">
        <v>939</v>
      </c>
      <c r="B457" s="15"/>
      <c r="C457" s="16" t="e">
        <f>IF([2]!Artículos4[[#This Row],[Proveedor (código)]]="","",VLOOKUP([2]!Artículos4[[#This Row],[Proveedor (código)]],[2]Proveedores!A:B,2,FALSE))</f>
        <v>#REF!</v>
      </c>
      <c r="D457" s="29" t="s">
        <v>496</v>
      </c>
      <c r="E457" s="29" t="s">
        <v>492</v>
      </c>
      <c r="F457" s="51"/>
      <c r="G457" s="14"/>
      <c r="H457" s="14"/>
      <c r="I457" s="14"/>
      <c r="J457" s="16">
        <f>SUMIFS(Entradas!G:G,Entradas!E:E,Artículos[[#This Row],[Código]])</f>
        <v>0</v>
      </c>
      <c r="K457" s="16">
        <f>SUMIFS(Salidas!G:G,Salidas!E:E,Artículos[[#This Row],[Código]])</f>
        <v>0</v>
      </c>
      <c r="L457" s="16">
        <f>Artículos[[#This Row],[Existencias iniciales]]+Artículos[[#This Row],[Entradas]]-Artículos[[#This Row],[Salidas]]</f>
        <v>0</v>
      </c>
      <c r="M457" s="16"/>
      <c r="N457" s="16"/>
    </row>
    <row r="458" spans="1:14" ht="14.4" hidden="1" customHeight="1" x14ac:dyDescent="0.3">
      <c r="A458" s="29" t="s">
        <v>940</v>
      </c>
      <c r="B458" s="15"/>
      <c r="C458" s="16" t="e">
        <f>IF([2]!Artículos4[[#This Row],[Proveedor (código)]]="","",VLOOKUP([2]!Artículos4[[#This Row],[Proveedor (código)]],[2]Proveedores!A:B,2,FALSE))</f>
        <v>#REF!</v>
      </c>
      <c r="D458" s="29" t="s">
        <v>497</v>
      </c>
      <c r="E458" s="29" t="s">
        <v>492</v>
      </c>
      <c r="F458" s="51"/>
      <c r="G458" s="14"/>
      <c r="H458" s="14"/>
      <c r="I458" s="14"/>
      <c r="J458" s="16">
        <f>SUMIFS(Entradas!G:G,Entradas!E:E,Artículos[[#This Row],[Código]])</f>
        <v>0</v>
      </c>
      <c r="K458" s="16">
        <f>SUMIFS(Salidas!G:G,Salidas!E:E,Artículos[[#This Row],[Código]])</f>
        <v>0</v>
      </c>
      <c r="L458" s="16">
        <f>Artículos[[#This Row],[Existencias iniciales]]+Artículos[[#This Row],[Entradas]]-Artículos[[#This Row],[Salidas]]</f>
        <v>0</v>
      </c>
      <c r="M458" s="16"/>
      <c r="N458" s="16"/>
    </row>
    <row r="459" spans="1:14" ht="14.4" hidden="1" customHeight="1" x14ac:dyDescent="0.3">
      <c r="A459" s="29" t="s">
        <v>941</v>
      </c>
      <c r="B459" s="15"/>
      <c r="C459" s="16" t="e">
        <f>IF([2]!Artículos4[[#This Row],[Proveedor (código)]]="","",VLOOKUP([2]!Artículos4[[#This Row],[Proveedor (código)]],[2]Proveedores!A:B,2,FALSE))</f>
        <v>#REF!</v>
      </c>
      <c r="D459" s="29" t="s">
        <v>498</v>
      </c>
      <c r="E459" s="29" t="s">
        <v>492</v>
      </c>
      <c r="F459" s="51"/>
      <c r="G459" s="14"/>
      <c r="H459" s="14"/>
      <c r="I459" s="14"/>
      <c r="J459" s="16">
        <f>SUMIFS(Entradas!G:G,Entradas!E:E,Artículos[[#This Row],[Código]])</f>
        <v>0</v>
      </c>
      <c r="K459" s="16">
        <f>SUMIFS(Salidas!G:G,Salidas!E:E,Artículos[[#This Row],[Código]])</f>
        <v>0</v>
      </c>
      <c r="L459" s="16">
        <f>Artículos[[#This Row],[Existencias iniciales]]+Artículos[[#This Row],[Entradas]]-Artículos[[#This Row],[Salidas]]</f>
        <v>0</v>
      </c>
      <c r="M459" s="16"/>
      <c r="N459" s="16"/>
    </row>
    <row r="460" spans="1:14" ht="14.4" hidden="1" customHeight="1" x14ac:dyDescent="0.3">
      <c r="A460" s="29" t="s">
        <v>942</v>
      </c>
      <c r="B460" s="15"/>
      <c r="C460" s="16" t="e">
        <f>IF([2]!Artículos4[[#This Row],[Proveedor (código)]]="","",VLOOKUP([2]!Artículos4[[#This Row],[Proveedor (código)]],[2]Proveedores!A:B,2,FALSE))</f>
        <v>#REF!</v>
      </c>
      <c r="D460" s="29" t="s">
        <v>499</v>
      </c>
      <c r="E460" s="29" t="s">
        <v>492</v>
      </c>
      <c r="F460" s="51"/>
      <c r="G460" s="14"/>
      <c r="H460" s="14"/>
      <c r="I460" s="14"/>
      <c r="J460" s="16">
        <f>SUMIFS(Entradas!G:G,Entradas!E:E,Artículos[[#This Row],[Código]])</f>
        <v>0</v>
      </c>
      <c r="K460" s="16">
        <f>SUMIFS(Salidas!G:G,Salidas!E:E,Artículos[[#This Row],[Código]])</f>
        <v>0</v>
      </c>
      <c r="L460" s="16">
        <f>Artículos[[#This Row],[Existencias iniciales]]+Artículos[[#This Row],[Entradas]]-Artículos[[#This Row],[Salidas]]</f>
        <v>0</v>
      </c>
      <c r="M460" s="16"/>
      <c r="N460" s="16"/>
    </row>
    <row r="461" spans="1:14" ht="14.4" hidden="1" customHeight="1" x14ac:dyDescent="0.3">
      <c r="A461" s="29" t="s">
        <v>943</v>
      </c>
      <c r="B461" s="15"/>
      <c r="C461" s="16" t="e">
        <f>IF([2]!Artículos4[[#This Row],[Proveedor (código)]]="","",VLOOKUP([2]!Artículos4[[#This Row],[Proveedor (código)]],[2]Proveedores!A:B,2,FALSE))</f>
        <v>#REF!</v>
      </c>
      <c r="D461" s="29" t="s">
        <v>500</v>
      </c>
      <c r="E461" s="29" t="s">
        <v>492</v>
      </c>
      <c r="F461" s="51"/>
      <c r="G461" s="14"/>
      <c r="H461" s="14"/>
      <c r="I461" s="14"/>
      <c r="J461" s="16">
        <f>SUMIFS(Entradas!G:G,Entradas!E:E,Artículos[[#This Row],[Código]])</f>
        <v>0</v>
      </c>
      <c r="K461" s="16">
        <f>SUMIFS(Salidas!G:G,Salidas!E:E,Artículos[[#This Row],[Código]])</f>
        <v>0</v>
      </c>
      <c r="L461" s="16">
        <f>Artículos[[#This Row],[Existencias iniciales]]+Artículos[[#This Row],[Entradas]]-Artículos[[#This Row],[Salidas]]</f>
        <v>0</v>
      </c>
      <c r="M461" s="16"/>
      <c r="N461" s="16"/>
    </row>
    <row r="462" spans="1:14" ht="14.4" hidden="1" customHeight="1" x14ac:dyDescent="0.3">
      <c r="A462" s="29" t="s">
        <v>945</v>
      </c>
      <c r="B462" s="15"/>
      <c r="C462" s="16" t="e">
        <f>IF([2]!Artículos4[[#This Row],[Proveedor (código)]]="","",VLOOKUP([2]!Artículos4[[#This Row],[Proveedor (código)]],[2]Proveedores!A:B,2,FALSE))</f>
        <v>#REF!</v>
      </c>
      <c r="D462" s="29" t="s">
        <v>501</v>
      </c>
      <c r="E462" s="29" t="s">
        <v>492</v>
      </c>
      <c r="F462" s="51"/>
      <c r="G462" s="14"/>
      <c r="H462" s="14"/>
      <c r="I462" s="14"/>
      <c r="J462" s="16">
        <f>SUMIFS(Entradas!G:G,Entradas!E:E,Artículos[[#This Row],[Código]])</f>
        <v>0</v>
      </c>
      <c r="K462" s="16">
        <f>SUMIFS(Salidas!G:G,Salidas!E:E,Artículos[[#This Row],[Código]])</f>
        <v>0</v>
      </c>
      <c r="L462" s="16">
        <f>Artículos[[#This Row],[Existencias iniciales]]+Artículos[[#This Row],[Entradas]]-Artículos[[#This Row],[Salidas]]</f>
        <v>0</v>
      </c>
      <c r="M462" s="16"/>
      <c r="N462" s="16"/>
    </row>
    <row r="463" spans="1:14" ht="14.4" hidden="1" customHeight="1" x14ac:dyDescent="0.3">
      <c r="A463" s="29" t="s">
        <v>944</v>
      </c>
      <c r="B463" s="15"/>
      <c r="C463" s="16" t="e">
        <f>IF([2]!Artículos4[[#This Row],[Proveedor (código)]]="","",VLOOKUP([2]!Artículos4[[#This Row],[Proveedor (código)]],[2]Proveedores!A:B,2,FALSE))</f>
        <v>#REF!</v>
      </c>
      <c r="D463" s="29" t="s">
        <v>502</v>
      </c>
      <c r="E463" s="29" t="s">
        <v>492</v>
      </c>
      <c r="F463" s="51"/>
      <c r="G463" s="14"/>
      <c r="H463" s="14"/>
      <c r="I463" s="14"/>
      <c r="J463" s="16">
        <f>SUMIFS(Entradas!G:G,Entradas!E:E,Artículos[[#This Row],[Código]])</f>
        <v>0</v>
      </c>
      <c r="K463" s="16">
        <f>SUMIFS(Salidas!G:G,Salidas!E:E,Artículos[[#This Row],[Código]])</f>
        <v>0</v>
      </c>
      <c r="L463" s="16">
        <f>Artículos[[#This Row],[Existencias iniciales]]+Artículos[[#This Row],[Entradas]]-Artículos[[#This Row],[Salidas]]</f>
        <v>0</v>
      </c>
      <c r="M463" s="16"/>
      <c r="N463" s="16"/>
    </row>
    <row r="464" spans="1:14" ht="14.4" hidden="1" customHeight="1" x14ac:dyDescent="0.3">
      <c r="A464" s="29" t="s">
        <v>948</v>
      </c>
      <c r="B464" s="15"/>
      <c r="C464" s="16" t="e">
        <f>IF([2]!Artículos4[[#This Row],[Proveedor (código)]]="","",VLOOKUP([2]!Artículos4[[#This Row],[Proveedor (código)]],[2]Proveedores!A:B,2,FALSE))</f>
        <v>#REF!</v>
      </c>
      <c r="D464" s="29"/>
      <c r="E464" s="29" t="s">
        <v>492</v>
      </c>
      <c r="F464" s="51"/>
      <c r="G464" s="14"/>
      <c r="H464" s="14"/>
      <c r="I464" s="14"/>
      <c r="J464" s="16">
        <f>SUMIFS(Entradas!G:G,Entradas!E:E,Artículos[[#This Row],[Código]])</f>
        <v>0</v>
      </c>
      <c r="K464" s="16">
        <f>SUMIFS(Salidas!G:G,Salidas!E:E,Artículos[[#This Row],[Código]])</f>
        <v>0</v>
      </c>
      <c r="L464" s="16">
        <f>Artículos[[#This Row],[Existencias iniciales]]+Artículos[[#This Row],[Entradas]]-Artículos[[#This Row],[Salidas]]</f>
        <v>0</v>
      </c>
      <c r="M464" s="16"/>
      <c r="N464" s="16"/>
    </row>
    <row r="465" spans="1:14" ht="14.4" hidden="1" customHeight="1" x14ac:dyDescent="0.3">
      <c r="A465" s="29" t="s">
        <v>946</v>
      </c>
      <c r="B465" s="15"/>
      <c r="C465" s="16" t="e">
        <f>IF([2]!Artículos4[[#This Row],[Proveedor (código)]]="","",VLOOKUP([2]!Artículos4[[#This Row],[Proveedor (código)]],[2]Proveedores!A:B,2,FALSE))</f>
        <v>#REF!</v>
      </c>
      <c r="D465" s="29"/>
      <c r="E465" s="29" t="s">
        <v>492</v>
      </c>
      <c r="F465" s="51"/>
      <c r="G465" s="14"/>
      <c r="H465" s="14"/>
      <c r="I465" s="14"/>
      <c r="J465" s="16">
        <f>SUMIFS(Entradas!G:G,Entradas!E:E,Artículos[[#This Row],[Código]])</f>
        <v>0</v>
      </c>
      <c r="K465" s="16">
        <f>SUMIFS(Salidas!G:G,Salidas!E:E,Artículos[[#This Row],[Código]])</f>
        <v>0</v>
      </c>
      <c r="L465" s="16">
        <f>Artículos[[#This Row],[Existencias iniciales]]+Artículos[[#This Row],[Entradas]]-Artículos[[#This Row],[Salidas]]</f>
        <v>0</v>
      </c>
      <c r="M465" s="16"/>
      <c r="N465" s="16"/>
    </row>
    <row r="466" spans="1:14" ht="14.4" hidden="1" customHeight="1" x14ac:dyDescent="0.3">
      <c r="A466" s="29" t="s">
        <v>947</v>
      </c>
      <c r="B466" s="15"/>
      <c r="C466" s="16" t="e">
        <f>IF([2]!Artículos4[[#This Row],[Proveedor (código)]]="","",VLOOKUP([2]!Artículos4[[#This Row],[Proveedor (código)]],[2]Proveedores!A:B,2,FALSE))</f>
        <v>#REF!</v>
      </c>
      <c r="D466" s="29"/>
      <c r="E466" s="29" t="s">
        <v>492</v>
      </c>
      <c r="F466" s="51"/>
      <c r="G466" s="14"/>
      <c r="H466" s="14"/>
      <c r="I466" s="14"/>
      <c r="J466" s="16">
        <f>SUMIFS(Entradas!G:G,Entradas!E:E,Artículos[[#This Row],[Código]])</f>
        <v>0</v>
      </c>
      <c r="K466" s="16">
        <f>SUMIFS(Salidas!G:G,Salidas!E:E,Artículos[[#This Row],[Código]])</f>
        <v>0</v>
      </c>
      <c r="L466" s="16">
        <f>Artículos[[#This Row],[Existencias iniciales]]+Artículos[[#This Row],[Entradas]]-Artículos[[#This Row],[Salidas]]</f>
        <v>0</v>
      </c>
      <c r="M466" s="16"/>
      <c r="N466" s="16"/>
    </row>
    <row r="467" spans="1:14" ht="14.4" hidden="1" customHeight="1" x14ac:dyDescent="0.3">
      <c r="A467" s="29" t="s">
        <v>1279</v>
      </c>
      <c r="B467" s="15"/>
      <c r="C467" s="16" t="e">
        <f>IF([2]!Artículos4[[#This Row],[Proveedor (código)]]="","",VLOOKUP([2]!Artículos4[[#This Row],[Proveedor (código)]],[2]Proveedores!A:B,2,FALSE))</f>
        <v>#REF!</v>
      </c>
      <c r="D467" s="29" t="s">
        <v>503</v>
      </c>
      <c r="E467" s="29" t="s">
        <v>504</v>
      </c>
      <c r="F467" s="51"/>
      <c r="G467" s="14"/>
      <c r="H467" s="14"/>
      <c r="I467" s="14"/>
      <c r="J467" s="16">
        <f>SUMIFS(Entradas!G:G,Entradas!E:E,Artículos[[#This Row],[Código]])</f>
        <v>0</v>
      </c>
      <c r="K467" s="16">
        <f>SUMIFS(Salidas!G:G,Salidas!E:E,Artículos[[#This Row],[Código]])</f>
        <v>0</v>
      </c>
      <c r="L467" s="16">
        <f>Artículos[[#This Row],[Existencias iniciales]]+Artículos[[#This Row],[Entradas]]-Artículos[[#This Row],[Salidas]]</f>
        <v>0</v>
      </c>
      <c r="M467" s="16"/>
      <c r="N467" s="16"/>
    </row>
    <row r="468" spans="1:14" ht="14.4" hidden="1" customHeight="1" x14ac:dyDescent="0.3">
      <c r="A468" s="29" t="s">
        <v>1280</v>
      </c>
      <c r="B468" s="15"/>
      <c r="C468" s="16" t="e">
        <f>IF([2]!Artículos4[[#This Row],[Proveedor (código)]]="","",VLOOKUP([2]!Artículos4[[#This Row],[Proveedor (código)]],[2]Proveedores!A:B,2,FALSE))</f>
        <v>#REF!</v>
      </c>
      <c r="D468" s="29" t="s">
        <v>505</v>
      </c>
      <c r="E468" s="29" t="s">
        <v>504</v>
      </c>
      <c r="F468" s="51"/>
      <c r="G468" s="14"/>
      <c r="H468" s="14"/>
      <c r="I468" s="14"/>
      <c r="J468" s="16">
        <f>SUMIFS(Entradas!G:G,Entradas!E:E,Artículos[[#This Row],[Código]])</f>
        <v>0</v>
      </c>
      <c r="K468" s="16">
        <f>SUMIFS(Salidas!G:G,Salidas!E:E,Artículos[[#This Row],[Código]])</f>
        <v>0</v>
      </c>
      <c r="L468" s="16">
        <f>Artículos[[#This Row],[Existencias iniciales]]+Artículos[[#This Row],[Entradas]]-Artículos[[#This Row],[Salidas]]</f>
        <v>0</v>
      </c>
      <c r="M468" s="16"/>
      <c r="N468" s="16"/>
    </row>
    <row r="469" spans="1:14" ht="14.4" hidden="1" customHeight="1" x14ac:dyDescent="0.3">
      <c r="A469" s="29" t="s">
        <v>1282</v>
      </c>
      <c r="B469" s="15"/>
      <c r="C469" s="16" t="e">
        <f>IF([2]!Artículos4[[#This Row],[Proveedor (código)]]="","",VLOOKUP([2]!Artículos4[[#This Row],[Proveedor (código)]],[2]Proveedores!A:B,2,FALSE))</f>
        <v>#REF!</v>
      </c>
      <c r="D469" s="29" t="s">
        <v>507</v>
      </c>
      <c r="E469" s="29" t="s">
        <v>504</v>
      </c>
      <c r="F469" s="51"/>
      <c r="G469" s="14"/>
      <c r="H469" s="14"/>
      <c r="I469" s="14"/>
      <c r="J469" s="16">
        <f>SUMIFS(Entradas!G:G,Entradas!E:E,Artículos[[#This Row],[Código]])</f>
        <v>0</v>
      </c>
      <c r="K469" s="16">
        <f>SUMIFS(Salidas!G:G,Salidas!E:E,Artículos[[#This Row],[Código]])</f>
        <v>0</v>
      </c>
      <c r="L469" s="16">
        <f>Artículos[[#This Row],[Existencias iniciales]]+Artículos[[#This Row],[Entradas]]-Artículos[[#This Row],[Salidas]]</f>
        <v>0</v>
      </c>
      <c r="M469" s="16"/>
      <c r="N469" s="16"/>
    </row>
    <row r="470" spans="1:14" ht="14.4" hidden="1" customHeight="1" x14ac:dyDescent="0.3">
      <c r="A470" s="29" t="s">
        <v>1283</v>
      </c>
      <c r="B470" s="15"/>
      <c r="C470" s="16" t="e">
        <f>IF([2]!Artículos4[[#This Row],[Proveedor (código)]]="","",VLOOKUP([2]!Artículos4[[#This Row],[Proveedor (código)]],[2]Proveedores!A:B,2,FALSE))</f>
        <v>#REF!</v>
      </c>
      <c r="D470" s="29" t="s">
        <v>508</v>
      </c>
      <c r="E470" s="29" t="s">
        <v>504</v>
      </c>
      <c r="F470" s="51"/>
      <c r="G470" s="14"/>
      <c r="H470" s="14"/>
      <c r="I470" s="14"/>
      <c r="J470" s="16">
        <f>SUMIFS(Entradas!G:G,Entradas!E:E,Artículos[[#This Row],[Código]])</f>
        <v>0</v>
      </c>
      <c r="K470" s="16">
        <f>SUMIFS(Salidas!G:G,Salidas!E:E,Artículos[[#This Row],[Código]])</f>
        <v>0</v>
      </c>
      <c r="L470" s="16">
        <f>Artículos[[#This Row],[Existencias iniciales]]+Artículos[[#This Row],[Entradas]]-Artículos[[#This Row],[Salidas]]</f>
        <v>0</v>
      </c>
      <c r="M470" s="16"/>
      <c r="N470" s="16"/>
    </row>
    <row r="471" spans="1:14" ht="14.4" hidden="1" customHeight="1" x14ac:dyDescent="0.3">
      <c r="A471" s="29" t="s">
        <v>1284</v>
      </c>
      <c r="B471" s="15"/>
      <c r="C471" s="16" t="e">
        <f>IF([2]!Artículos4[[#This Row],[Proveedor (código)]]="","",VLOOKUP([2]!Artículos4[[#This Row],[Proveedor (código)]],[2]Proveedores!A:B,2,FALSE))</f>
        <v>#REF!</v>
      </c>
      <c r="D471" s="29" t="s">
        <v>47</v>
      </c>
      <c r="E471" s="29" t="s">
        <v>504</v>
      </c>
      <c r="F471" s="51"/>
      <c r="G471" s="14"/>
      <c r="H471" s="14"/>
      <c r="I471" s="14">
        <v>10</v>
      </c>
      <c r="J471" s="16">
        <f>SUMIFS(Entradas!G:G,Entradas!E:E,Artículos[[#This Row],[Código]])</f>
        <v>7</v>
      </c>
      <c r="K471" s="16">
        <f>SUMIFS(Salidas!G:G,Salidas!E:E,Artículos[[#This Row],[Código]])</f>
        <v>0</v>
      </c>
      <c r="L471" s="16">
        <f>Artículos[[#This Row],[Existencias iniciales]]+Artículos[[#This Row],[Entradas]]-Artículos[[#This Row],[Salidas]]</f>
        <v>17</v>
      </c>
      <c r="M471" s="16"/>
      <c r="N471" s="16"/>
    </row>
    <row r="472" spans="1:14" ht="14.4" hidden="1" customHeight="1" x14ac:dyDescent="0.3">
      <c r="A472" s="29" t="s">
        <v>1285</v>
      </c>
      <c r="B472" s="15"/>
      <c r="C472" s="16" t="e">
        <f>IF([2]!Artículos4[[#This Row],[Proveedor (código)]]="","",VLOOKUP([2]!Artículos4[[#This Row],[Proveedor (código)]],[2]Proveedores!A:B,2,FALSE))</f>
        <v>#REF!</v>
      </c>
      <c r="D472" s="29" t="s">
        <v>509</v>
      </c>
      <c r="E472" s="29" t="s">
        <v>504</v>
      </c>
      <c r="F472" s="51"/>
      <c r="G472" s="14"/>
      <c r="H472" s="14"/>
      <c r="I472" s="14"/>
      <c r="J472" s="16">
        <f>SUMIFS(Entradas!G:G,Entradas!E:E,Artículos[[#This Row],[Código]])</f>
        <v>0</v>
      </c>
      <c r="K472" s="16">
        <f>SUMIFS(Salidas!G:G,Salidas!E:E,Artículos[[#This Row],[Código]])</f>
        <v>0</v>
      </c>
      <c r="L472" s="16">
        <f>Artículos[[#This Row],[Existencias iniciales]]+Artículos[[#This Row],[Entradas]]-Artículos[[#This Row],[Salidas]]</f>
        <v>0</v>
      </c>
      <c r="M472" s="16"/>
      <c r="N472" s="16"/>
    </row>
    <row r="473" spans="1:14" ht="14.4" hidden="1" customHeight="1" x14ac:dyDescent="0.3">
      <c r="A473" s="29" t="s">
        <v>1286</v>
      </c>
      <c r="B473" s="15"/>
      <c r="C473" s="16" t="e">
        <f>IF([2]!Artículos4[[#This Row],[Proveedor (código)]]="","",VLOOKUP([2]!Artículos4[[#This Row],[Proveedor (código)]],[2]Proveedores!A:B,2,FALSE))</f>
        <v>#REF!</v>
      </c>
      <c r="D473" s="29" t="s">
        <v>510</v>
      </c>
      <c r="E473" s="29" t="s">
        <v>504</v>
      </c>
      <c r="F473" s="51"/>
      <c r="G473" s="14"/>
      <c r="H473" s="14"/>
      <c r="I473" s="14"/>
      <c r="J473" s="16">
        <f>SUMIFS(Entradas!G:G,Entradas!E:E,Artículos[[#This Row],[Código]])</f>
        <v>0</v>
      </c>
      <c r="K473" s="16">
        <f>SUMIFS(Salidas!G:G,Salidas!E:E,Artículos[[#This Row],[Código]])</f>
        <v>0</v>
      </c>
      <c r="L473" s="16">
        <f>Artículos[[#This Row],[Existencias iniciales]]+Artículos[[#This Row],[Entradas]]-Artículos[[#This Row],[Salidas]]</f>
        <v>0</v>
      </c>
      <c r="M473" s="16"/>
      <c r="N473" s="16"/>
    </row>
    <row r="474" spans="1:14" ht="14.4" hidden="1" customHeight="1" x14ac:dyDescent="0.3">
      <c r="A474" s="29" t="s">
        <v>1287</v>
      </c>
      <c r="B474" s="15"/>
      <c r="C474" s="16" t="e">
        <f>IF([2]!Artículos4[[#This Row],[Proveedor (código)]]="","",VLOOKUP([2]!Artículos4[[#This Row],[Proveedor (código)]],[2]Proveedores!A:B,2,FALSE))</f>
        <v>#REF!</v>
      </c>
      <c r="D474" s="29" t="s">
        <v>511</v>
      </c>
      <c r="E474" s="29" t="s">
        <v>504</v>
      </c>
      <c r="F474" s="51"/>
      <c r="G474" s="14"/>
      <c r="H474" s="14"/>
      <c r="I474" s="14"/>
      <c r="J474" s="16">
        <f>SUMIFS(Entradas!G:G,Entradas!E:E,Artículos[[#This Row],[Código]])</f>
        <v>0</v>
      </c>
      <c r="K474" s="16">
        <f>SUMIFS(Salidas!G:G,Salidas!E:E,Artículos[[#This Row],[Código]])</f>
        <v>0</v>
      </c>
      <c r="L474" s="16">
        <f>Artículos[[#This Row],[Existencias iniciales]]+Artículos[[#This Row],[Entradas]]-Artículos[[#This Row],[Salidas]]</f>
        <v>0</v>
      </c>
      <c r="M474" s="16"/>
      <c r="N474" s="16"/>
    </row>
    <row r="475" spans="1:14" ht="14.4" hidden="1" customHeight="1" x14ac:dyDescent="0.3">
      <c r="A475" s="29" t="s">
        <v>1288</v>
      </c>
      <c r="B475" s="15"/>
      <c r="C475" s="16" t="e">
        <f>IF([2]!Artículos4[[#This Row],[Proveedor (código)]]="","",VLOOKUP([2]!Artículos4[[#This Row],[Proveedor (código)]],[2]Proveedores!A:B,2,FALSE))</f>
        <v>#REF!</v>
      </c>
      <c r="D475" s="29" t="s">
        <v>512</v>
      </c>
      <c r="E475" s="29" t="s">
        <v>504</v>
      </c>
      <c r="F475" s="51"/>
      <c r="G475" s="14"/>
      <c r="H475" s="14"/>
      <c r="I475" s="14"/>
      <c r="J475" s="16">
        <f>SUMIFS(Entradas!G:G,Entradas!E:E,Artículos[[#This Row],[Código]])</f>
        <v>0</v>
      </c>
      <c r="K475" s="16">
        <f>SUMIFS(Salidas!G:G,Salidas!E:E,Artículos[[#This Row],[Código]])</f>
        <v>0</v>
      </c>
      <c r="L475" s="16">
        <f>Artículos[[#This Row],[Existencias iniciales]]+Artículos[[#This Row],[Entradas]]-Artículos[[#This Row],[Salidas]]</f>
        <v>0</v>
      </c>
      <c r="M475" s="16"/>
      <c r="N475" s="16"/>
    </row>
    <row r="476" spans="1:14" ht="14.4" hidden="1" customHeight="1" x14ac:dyDescent="0.3">
      <c r="A476" s="29" t="s">
        <v>1289</v>
      </c>
      <c r="B476" s="15"/>
      <c r="C476" s="16" t="e">
        <f>IF([2]!Artículos4[[#This Row],[Proveedor (código)]]="","",VLOOKUP([2]!Artículos4[[#This Row],[Proveedor (código)]],[2]Proveedores!A:B,2,FALSE))</f>
        <v>#REF!</v>
      </c>
      <c r="D476" s="29"/>
      <c r="E476" s="29" t="s">
        <v>504</v>
      </c>
      <c r="F476" s="51"/>
      <c r="G476" s="14"/>
      <c r="H476" s="14"/>
      <c r="I476" s="14"/>
      <c r="J476" s="16">
        <f>SUMIFS(Entradas!G:G,Entradas!E:E,Artículos[[#This Row],[Código]])</f>
        <v>0</v>
      </c>
      <c r="K476" s="16">
        <f>SUMIFS(Salidas!G:G,Salidas!E:E,Artículos[[#This Row],[Código]])</f>
        <v>0</v>
      </c>
      <c r="L476" s="16">
        <f>Artículos[[#This Row],[Existencias iniciales]]+Artículos[[#This Row],[Entradas]]-Artículos[[#This Row],[Salidas]]</f>
        <v>0</v>
      </c>
      <c r="M476" s="16"/>
      <c r="N476" s="16"/>
    </row>
    <row r="477" spans="1:14" ht="14.4" hidden="1" customHeight="1" x14ac:dyDescent="0.3">
      <c r="A477" s="29" t="s">
        <v>1290</v>
      </c>
      <c r="B477" s="15"/>
      <c r="C477" s="16" t="e">
        <f>IF([2]!Artículos4[[#This Row],[Proveedor (código)]]="","",VLOOKUP([2]!Artículos4[[#This Row],[Proveedor (código)]],[2]Proveedores!A:B,2,FALSE))</f>
        <v>#REF!</v>
      </c>
      <c r="D477" s="29"/>
      <c r="E477" s="29" t="s">
        <v>504</v>
      </c>
      <c r="F477" s="51"/>
      <c r="G477" s="14"/>
      <c r="H477" s="14"/>
      <c r="I477" s="14"/>
      <c r="J477" s="16">
        <f>SUMIFS(Entradas!G:G,Entradas!E:E,Artículos[[#This Row],[Código]])</f>
        <v>0</v>
      </c>
      <c r="K477" s="16">
        <f>SUMIFS(Salidas!G:G,Salidas!E:E,Artículos[[#This Row],[Código]])</f>
        <v>0</v>
      </c>
      <c r="L477" s="16">
        <f>Artículos[[#This Row],[Existencias iniciales]]+Artículos[[#This Row],[Entradas]]-Artículos[[#This Row],[Salidas]]</f>
        <v>0</v>
      </c>
      <c r="M477" s="16"/>
      <c r="N477" s="16"/>
    </row>
    <row r="478" spans="1:14" ht="14.4" hidden="1" customHeight="1" x14ac:dyDescent="0.3">
      <c r="A478" s="29" t="s">
        <v>1291</v>
      </c>
      <c r="B478" s="15"/>
      <c r="C478" s="16" t="e">
        <f>IF([2]!Artículos4[[#This Row],[Proveedor (código)]]="","",VLOOKUP([2]!Artículos4[[#This Row],[Proveedor (código)]],[2]Proveedores!A:B,2,FALSE))</f>
        <v>#REF!</v>
      </c>
      <c r="D478" s="29"/>
      <c r="E478" s="29" t="s">
        <v>504</v>
      </c>
      <c r="F478" s="51"/>
      <c r="G478" s="14"/>
      <c r="H478" s="14"/>
      <c r="I478" s="14"/>
      <c r="J478" s="16">
        <f>SUMIFS(Entradas!G:G,Entradas!E:E,Artículos[[#This Row],[Código]])</f>
        <v>0</v>
      </c>
      <c r="K478" s="16">
        <f>SUMIFS(Salidas!G:G,Salidas!E:E,Artículos[[#This Row],[Código]])</f>
        <v>0</v>
      </c>
      <c r="L478" s="16">
        <f>Artículos[[#This Row],[Existencias iniciales]]+Artículos[[#This Row],[Entradas]]-Artículos[[#This Row],[Salidas]]</f>
        <v>0</v>
      </c>
      <c r="M478" s="16"/>
      <c r="N478" s="16"/>
    </row>
    <row r="479" spans="1:14" ht="14.4" hidden="1" customHeight="1" x14ac:dyDescent="0.3">
      <c r="A479" s="29" t="s">
        <v>1292</v>
      </c>
      <c r="B479" s="15"/>
      <c r="C479" s="16" t="e">
        <f>IF([2]!Artículos4[[#This Row],[Proveedor (código)]]="","",VLOOKUP([2]!Artículos4[[#This Row],[Proveedor (código)]],[2]Proveedores!A:B,2,FALSE))</f>
        <v>#REF!</v>
      </c>
      <c r="D479" s="29"/>
      <c r="E479" s="29" t="s">
        <v>504</v>
      </c>
      <c r="F479" s="51"/>
      <c r="G479" s="14"/>
      <c r="H479" s="14"/>
      <c r="I479" s="14"/>
      <c r="J479" s="16">
        <f>SUMIFS(Entradas!G:G,Entradas!E:E,Artículos[[#This Row],[Código]])</f>
        <v>0</v>
      </c>
      <c r="K479" s="16">
        <f>SUMIFS(Salidas!G:G,Salidas!E:E,Artículos[[#This Row],[Código]])</f>
        <v>0</v>
      </c>
      <c r="L479" s="16">
        <f>Artículos[[#This Row],[Existencias iniciales]]+Artículos[[#This Row],[Entradas]]-Artículos[[#This Row],[Salidas]]</f>
        <v>0</v>
      </c>
      <c r="M479" s="16"/>
      <c r="N479" s="16"/>
    </row>
    <row r="480" spans="1:14" ht="14.4" hidden="1" customHeight="1" x14ac:dyDescent="0.3">
      <c r="A480" s="29" t="s">
        <v>1293</v>
      </c>
      <c r="B480" s="15"/>
      <c r="C480" s="16" t="e">
        <f>IF([2]!Artículos4[[#This Row],[Proveedor (código)]]="","",VLOOKUP([2]!Artículos4[[#This Row],[Proveedor (código)]],[2]Proveedores!A:B,2,FALSE))</f>
        <v>#REF!</v>
      </c>
      <c r="D480" s="29"/>
      <c r="E480" s="29" t="s">
        <v>504</v>
      </c>
      <c r="F480" s="51"/>
      <c r="G480" s="14"/>
      <c r="H480" s="14"/>
      <c r="I480" s="14"/>
      <c r="J480" s="16">
        <f>SUMIFS(Entradas!G:G,Entradas!E:E,Artículos[[#This Row],[Código]])</f>
        <v>0</v>
      </c>
      <c r="K480" s="16">
        <f>SUMIFS(Salidas!G:G,Salidas!E:E,Artículos[[#This Row],[Código]])</f>
        <v>0</v>
      </c>
      <c r="L480" s="16">
        <f>Artículos[[#This Row],[Existencias iniciales]]+Artículos[[#This Row],[Entradas]]-Artículos[[#This Row],[Salidas]]</f>
        <v>0</v>
      </c>
      <c r="M480" s="16"/>
      <c r="N480" s="16"/>
    </row>
    <row r="481" spans="1:14" ht="14.4" hidden="1" customHeight="1" x14ac:dyDescent="0.3">
      <c r="A481" s="29" t="s">
        <v>1294</v>
      </c>
      <c r="B481" s="15"/>
      <c r="C481" s="16" t="e">
        <f>IF([2]!Artículos4[[#This Row],[Proveedor (código)]]="","",VLOOKUP([2]!Artículos4[[#This Row],[Proveedor (código)]],[2]Proveedores!A:B,2,FALSE))</f>
        <v>#REF!</v>
      </c>
      <c r="D481" s="29"/>
      <c r="E481" s="29" t="s">
        <v>504</v>
      </c>
      <c r="F481" s="51"/>
      <c r="G481" s="14"/>
      <c r="H481" s="14"/>
      <c r="I481" s="14"/>
      <c r="J481" s="16">
        <f>SUMIFS(Entradas!G:G,Entradas!E:E,Artículos[[#This Row],[Código]])</f>
        <v>0</v>
      </c>
      <c r="K481" s="16">
        <f>SUMIFS(Salidas!G:G,Salidas!E:E,Artículos[[#This Row],[Código]])</f>
        <v>0</v>
      </c>
      <c r="L481" s="16">
        <f>Artículos[[#This Row],[Existencias iniciales]]+Artículos[[#This Row],[Entradas]]-Artículos[[#This Row],[Salidas]]</f>
        <v>0</v>
      </c>
      <c r="M481" s="16"/>
      <c r="N481" s="16"/>
    </row>
    <row r="482" spans="1:14" ht="14.4" hidden="1" customHeight="1" x14ac:dyDescent="0.3">
      <c r="A482" s="29" t="s">
        <v>1295</v>
      </c>
      <c r="B482" s="15"/>
      <c r="C482" s="16" t="e">
        <f>IF([2]!Artículos4[[#This Row],[Proveedor (código)]]="","",VLOOKUP([2]!Artículos4[[#This Row],[Proveedor (código)]],[2]Proveedores!A:B,2,FALSE))</f>
        <v>#REF!</v>
      </c>
      <c r="D482" s="29"/>
      <c r="E482" s="29" t="s">
        <v>504</v>
      </c>
      <c r="F482" s="51"/>
      <c r="G482" s="14"/>
      <c r="H482" s="14"/>
      <c r="I482" s="14"/>
      <c r="J482" s="16">
        <f>SUMIFS(Entradas!G:G,Entradas!E:E,Artículos[[#This Row],[Código]])</f>
        <v>0</v>
      </c>
      <c r="K482" s="16">
        <f>SUMIFS(Salidas!G:G,Salidas!E:E,Artículos[[#This Row],[Código]])</f>
        <v>0</v>
      </c>
      <c r="L482" s="16">
        <f>Artículos[[#This Row],[Existencias iniciales]]+Artículos[[#This Row],[Entradas]]-Artículos[[#This Row],[Salidas]]</f>
        <v>0</v>
      </c>
      <c r="M482" s="16"/>
      <c r="N482" s="16"/>
    </row>
    <row r="483" spans="1:14" ht="14.4" hidden="1" customHeight="1" x14ac:dyDescent="0.3">
      <c r="A483" s="29" t="s">
        <v>1296</v>
      </c>
      <c r="B483" s="15"/>
      <c r="C483" s="16" t="e">
        <f>IF([2]!Artículos4[[#This Row],[Proveedor (código)]]="","",VLOOKUP([2]!Artículos4[[#This Row],[Proveedor (código)]],[2]Proveedores!A:B,2,FALSE))</f>
        <v>#REF!</v>
      </c>
      <c r="D483" s="29"/>
      <c r="E483" s="29" t="s">
        <v>504</v>
      </c>
      <c r="F483" s="51"/>
      <c r="G483" s="14"/>
      <c r="H483" s="14"/>
      <c r="I483" s="14"/>
      <c r="J483" s="16">
        <f>SUMIFS(Entradas!G:G,Entradas!E:E,Artículos[[#This Row],[Código]])</f>
        <v>0</v>
      </c>
      <c r="K483" s="16">
        <f>SUMIFS(Salidas!G:G,Salidas!E:E,Artículos[[#This Row],[Código]])</f>
        <v>0</v>
      </c>
      <c r="L483" s="16">
        <f>Artículos[[#This Row],[Existencias iniciales]]+Artículos[[#This Row],[Entradas]]-Artículos[[#This Row],[Salidas]]</f>
        <v>0</v>
      </c>
      <c r="M483" s="16"/>
      <c r="N483" s="16"/>
    </row>
    <row r="484" spans="1:14" ht="14.4" hidden="1" customHeight="1" x14ac:dyDescent="0.3">
      <c r="A484" s="29" t="s">
        <v>1297</v>
      </c>
      <c r="B484" s="15"/>
      <c r="C484" s="16" t="e">
        <f>IF([2]!Artículos4[[#This Row],[Proveedor (código)]]="","",VLOOKUP([2]!Artículos4[[#This Row],[Proveedor (código)]],[2]Proveedores!A:B,2,FALSE))</f>
        <v>#REF!</v>
      </c>
      <c r="D484" s="29"/>
      <c r="E484" s="29" t="s">
        <v>504</v>
      </c>
      <c r="F484" s="51"/>
      <c r="G484" s="14"/>
      <c r="H484" s="14"/>
      <c r="I484" s="14"/>
      <c r="J484" s="16">
        <f>SUMIFS(Entradas!G:G,Entradas!E:E,Artículos[[#This Row],[Código]])</f>
        <v>0</v>
      </c>
      <c r="K484" s="16">
        <f>SUMIFS(Salidas!G:G,Salidas!E:E,Artículos[[#This Row],[Código]])</f>
        <v>0</v>
      </c>
      <c r="L484" s="16">
        <f>Artículos[[#This Row],[Existencias iniciales]]+Artículos[[#This Row],[Entradas]]-Artículos[[#This Row],[Salidas]]</f>
        <v>0</v>
      </c>
      <c r="M484" s="16"/>
      <c r="N484" s="16"/>
    </row>
    <row r="485" spans="1:14" ht="14.4" hidden="1" customHeight="1" x14ac:dyDescent="0.3">
      <c r="A485" s="29" t="s">
        <v>1298</v>
      </c>
      <c r="B485" s="15"/>
      <c r="C485" s="16" t="e">
        <f>IF([2]!Artículos4[[#This Row],[Proveedor (código)]]="","",VLOOKUP([2]!Artículos4[[#This Row],[Proveedor (código)]],[2]Proveedores!A:B,2,FALSE))</f>
        <v>#REF!</v>
      </c>
      <c r="D485" s="29"/>
      <c r="E485" s="29" t="s">
        <v>504</v>
      </c>
      <c r="F485" s="51"/>
      <c r="G485" s="14"/>
      <c r="H485" s="14"/>
      <c r="I485" s="14"/>
      <c r="J485" s="16">
        <f>SUMIFS(Entradas!G:G,Entradas!E:E,Artículos[[#This Row],[Código]])</f>
        <v>0</v>
      </c>
      <c r="K485" s="16">
        <f>SUMIFS(Salidas!G:G,Salidas!E:E,Artículos[[#This Row],[Código]])</f>
        <v>0</v>
      </c>
      <c r="L485" s="16">
        <f>Artículos[[#This Row],[Existencias iniciales]]+Artículos[[#This Row],[Entradas]]-Artículos[[#This Row],[Salidas]]</f>
        <v>0</v>
      </c>
      <c r="M485" s="16"/>
      <c r="N485" s="16"/>
    </row>
    <row r="486" spans="1:14" ht="14.4" hidden="1" customHeight="1" x14ac:dyDescent="0.3">
      <c r="A486" s="29" t="s">
        <v>1299</v>
      </c>
      <c r="B486" s="15"/>
      <c r="C486" s="16" t="e">
        <f>IF([2]!Artículos4[[#This Row],[Proveedor (código)]]="","",VLOOKUP([2]!Artículos4[[#This Row],[Proveedor (código)]],[2]Proveedores!A:B,2,FALSE))</f>
        <v>#REF!</v>
      </c>
      <c r="D486" s="29"/>
      <c r="E486" s="29" t="s">
        <v>504</v>
      </c>
      <c r="F486" s="51"/>
      <c r="G486" s="14"/>
      <c r="H486" s="14"/>
      <c r="I486" s="14"/>
      <c r="J486" s="16">
        <f>SUMIFS(Entradas!G:G,Entradas!E:E,Artículos[[#This Row],[Código]])</f>
        <v>0</v>
      </c>
      <c r="K486" s="16">
        <f>SUMIFS(Salidas!G:G,Salidas!E:E,Artículos[[#This Row],[Código]])</f>
        <v>0</v>
      </c>
      <c r="L486" s="16">
        <f>Artículos[[#This Row],[Existencias iniciales]]+Artículos[[#This Row],[Entradas]]-Artículos[[#This Row],[Salidas]]</f>
        <v>0</v>
      </c>
      <c r="M486" s="16"/>
      <c r="N486" s="16"/>
    </row>
    <row r="487" spans="1:14" ht="14.4" hidden="1" customHeight="1" x14ac:dyDescent="0.3">
      <c r="A487" s="29" t="s">
        <v>1300</v>
      </c>
      <c r="B487" s="15"/>
      <c r="C487" s="16" t="e">
        <f>IF([2]!Artículos4[[#This Row],[Proveedor (código)]]="","",VLOOKUP([2]!Artículos4[[#This Row],[Proveedor (código)]],[2]Proveedores!A:B,2,FALSE))</f>
        <v>#REF!</v>
      </c>
      <c r="D487" s="29"/>
      <c r="E487" s="29" t="s">
        <v>504</v>
      </c>
      <c r="F487" s="51"/>
      <c r="G487" s="14"/>
      <c r="H487" s="14"/>
      <c r="I487" s="14"/>
      <c r="J487" s="16">
        <f>SUMIFS(Entradas!G:G,Entradas!E:E,Artículos[[#This Row],[Código]])</f>
        <v>0</v>
      </c>
      <c r="K487" s="16">
        <f>SUMIFS(Salidas!G:G,Salidas!E:E,Artículos[[#This Row],[Código]])</f>
        <v>0</v>
      </c>
      <c r="L487" s="16">
        <f>Artículos[[#This Row],[Existencias iniciales]]+Artículos[[#This Row],[Entradas]]-Artículos[[#This Row],[Salidas]]</f>
        <v>0</v>
      </c>
      <c r="M487" s="16"/>
      <c r="N487" s="16"/>
    </row>
    <row r="488" spans="1:14" ht="14.4" hidden="1" customHeight="1" x14ac:dyDescent="0.3">
      <c r="A488" s="29" t="s">
        <v>1301</v>
      </c>
      <c r="B488" s="15"/>
      <c r="C488" s="16" t="e">
        <f>IF([2]!Artículos4[[#This Row],[Proveedor (código)]]="","",VLOOKUP([2]!Artículos4[[#This Row],[Proveedor (código)]],[2]Proveedores!A:B,2,FALSE))</f>
        <v>#REF!</v>
      </c>
      <c r="D488" s="29"/>
      <c r="E488" s="29" t="s">
        <v>504</v>
      </c>
      <c r="F488" s="51"/>
      <c r="G488" s="14"/>
      <c r="H488" s="14"/>
      <c r="I488" s="14"/>
      <c r="J488" s="16">
        <f>SUMIFS(Entradas!G:G,Entradas!E:E,Artículos[[#This Row],[Código]])</f>
        <v>0</v>
      </c>
      <c r="K488" s="16">
        <f>SUMIFS(Salidas!G:G,Salidas!E:E,Artículos[[#This Row],[Código]])</f>
        <v>0</v>
      </c>
      <c r="L488" s="16">
        <f>Artículos[[#This Row],[Existencias iniciales]]+Artículos[[#This Row],[Entradas]]-Artículos[[#This Row],[Salidas]]</f>
        <v>0</v>
      </c>
      <c r="M488" s="16"/>
      <c r="N488" s="16"/>
    </row>
    <row r="489" spans="1:14" ht="14.4" hidden="1" customHeight="1" x14ac:dyDescent="0.3">
      <c r="A489" s="29" t="s">
        <v>989</v>
      </c>
      <c r="B489" s="15"/>
      <c r="C489" s="16" t="e">
        <f>IF([2]!Artículos4[[#This Row],[Proveedor (código)]]="","",VLOOKUP([2]!Artículos4[[#This Row],[Proveedor (código)]],[2]Proveedores!A:B,2,FALSE))</f>
        <v>#REF!</v>
      </c>
      <c r="D489" s="29" t="s">
        <v>513</v>
      </c>
      <c r="E489" s="29" t="s">
        <v>44</v>
      </c>
      <c r="F489" s="51"/>
      <c r="G489" s="14"/>
      <c r="H489" s="14"/>
      <c r="I489" s="14">
        <v>125</v>
      </c>
      <c r="J489" s="16">
        <f>SUMIFS(Entradas!G:G,Entradas!E:E,Artículos[[#This Row],[Código]])</f>
        <v>254</v>
      </c>
      <c r="K489" s="16">
        <f>SUMIFS(Salidas!G:G,Salidas!E:E,Artículos[[#This Row],[Código]])</f>
        <v>1341</v>
      </c>
      <c r="L489" s="16">
        <f>Artículos[[#This Row],[Existencias iniciales]]+Artículos[[#This Row],[Entradas]]-Artículos[[#This Row],[Salidas]]</f>
        <v>-962</v>
      </c>
      <c r="M489" s="16"/>
      <c r="N489" s="16"/>
    </row>
    <row r="490" spans="1:14" ht="14.4" hidden="1" customHeight="1" x14ac:dyDescent="0.3">
      <c r="A490" s="29" t="s">
        <v>990</v>
      </c>
      <c r="B490" s="15"/>
      <c r="C490" s="16" t="e">
        <f>IF([2]!Artículos4[[#This Row],[Proveedor (código)]]="","",VLOOKUP([2]!Artículos4[[#This Row],[Proveedor (código)]],[2]Proveedores!A:B,2,FALSE))</f>
        <v>#REF!</v>
      </c>
      <c r="D490" s="29" t="s">
        <v>514</v>
      </c>
      <c r="E490" s="29" t="s">
        <v>44</v>
      </c>
      <c r="F490" s="51"/>
      <c r="G490" s="14"/>
      <c r="H490" s="14"/>
      <c r="I490" s="14"/>
      <c r="J490" s="16">
        <f>SUMIFS(Entradas!G:G,Entradas!E:E,Artículos[[#This Row],[Código]])</f>
        <v>0</v>
      </c>
      <c r="K490" s="16">
        <f>SUMIFS(Salidas!G:G,Salidas!E:E,Artículos[[#This Row],[Código]])</f>
        <v>0</v>
      </c>
      <c r="L490" s="16">
        <f>Artículos[[#This Row],[Existencias iniciales]]+Artículos[[#This Row],[Entradas]]-Artículos[[#This Row],[Salidas]]</f>
        <v>0</v>
      </c>
      <c r="M490" s="16"/>
      <c r="N490" s="16"/>
    </row>
    <row r="491" spans="1:14" ht="14.4" hidden="1" customHeight="1" x14ac:dyDescent="0.3">
      <c r="A491" s="29" t="s">
        <v>991</v>
      </c>
      <c r="B491" s="15"/>
      <c r="C491" s="16" t="e">
        <f>IF([2]!Artículos4[[#This Row],[Proveedor (código)]]="","",VLOOKUP([2]!Artículos4[[#This Row],[Proveedor (código)]],[2]Proveedores!A:B,2,FALSE))</f>
        <v>#REF!</v>
      </c>
      <c r="D491" s="29" t="s">
        <v>515</v>
      </c>
      <c r="E491" s="29" t="s">
        <v>44</v>
      </c>
      <c r="F491" s="51"/>
      <c r="G491" s="14"/>
      <c r="H491" s="14"/>
      <c r="I491" s="14"/>
      <c r="J491" s="16">
        <f>SUMIFS(Entradas!G:G,Entradas!E:E,Artículos[[#This Row],[Código]])</f>
        <v>0</v>
      </c>
      <c r="K491" s="16">
        <f>SUMIFS(Salidas!G:G,Salidas!E:E,Artículos[[#This Row],[Código]])</f>
        <v>0</v>
      </c>
      <c r="L491" s="16">
        <f>Artículos[[#This Row],[Existencias iniciales]]+Artículos[[#This Row],[Entradas]]-Artículos[[#This Row],[Salidas]]</f>
        <v>0</v>
      </c>
      <c r="M491" s="16"/>
      <c r="N491" s="16"/>
    </row>
    <row r="492" spans="1:14" ht="14.4" hidden="1" customHeight="1" x14ac:dyDescent="0.3">
      <c r="A492" s="29" t="s">
        <v>992</v>
      </c>
      <c r="B492" s="15"/>
      <c r="C492" s="16" t="e">
        <f>IF([2]!Artículos4[[#This Row],[Proveedor (código)]]="","",VLOOKUP([2]!Artículos4[[#This Row],[Proveedor (código)]],[2]Proveedores!A:B,2,FALSE))</f>
        <v>#REF!</v>
      </c>
      <c r="D492" s="29" t="s">
        <v>516</v>
      </c>
      <c r="E492" s="29" t="s">
        <v>44</v>
      </c>
      <c r="F492" s="51"/>
      <c r="G492" s="14"/>
      <c r="H492" s="14"/>
      <c r="I492" s="14"/>
      <c r="J492" s="16">
        <f>SUMIFS(Entradas!G:G,Entradas!E:E,Artículos[[#This Row],[Código]])</f>
        <v>0</v>
      </c>
      <c r="K492" s="16">
        <f>SUMIFS(Salidas!G:G,Salidas!E:E,Artículos[[#This Row],[Código]])</f>
        <v>0</v>
      </c>
      <c r="L492" s="16">
        <f>Artículos[[#This Row],[Existencias iniciales]]+Artículos[[#This Row],[Entradas]]-Artículos[[#This Row],[Salidas]]</f>
        <v>0</v>
      </c>
      <c r="M492" s="16"/>
      <c r="N492" s="16"/>
    </row>
    <row r="493" spans="1:14" ht="14.4" hidden="1" customHeight="1" x14ac:dyDescent="0.3">
      <c r="A493" s="29" t="s">
        <v>993</v>
      </c>
      <c r="B493" s="15"/>
      <c r="C493" s="16" t="e">
        <f>IF([2]!Artículos4[[#This Row],[Proveedor (código)]]="","",VLOOKUP([2]!Artículos4[[#This Row],[Proveedor (código)]],[2]Proveedores!A:B,2,FALSE))</f>
        <v>#REF!</v>
      </c>
      <c r="D493" s="29"/>
      <c r="E493" s="29" t="s">
        <v>44</v>
      </c>
      <c r="F493" s="51"/>
      <c r="G493" s="14"/>
      <c r="H493" s="14"/>
      <c r="I493" s="14"/>
      <c r="J493" s="16">
        <f>SUMIFS(Entradas!G:G,Entradas!E:E,Artículos[[#This Row],[Código]])</f>
        <v>0</v>
      </c>
      <c r="K493" s="16">
        <f>SUMIFS(Salidas!G:G,Salidas!E:E,Artículos[[#This Row],[Código]])</f>
        <v>0</v>
      </c>
      <c r="L493" s="16">
        <f>Artículos[[#This Row],[Existencias iniciales]]+Artículos[[#This Row],[Entradas]]-Artículos[[#This Row],[Salidas]]</f>
        <v>0</v>
      </c>
      <c r="M493" s="16"/>
      <c r="N493" s="16"/>
    </row>
    <row r="494" spans="1:14" ht="14.4" hidden="1" customHeight="1" x14ac:dyDescent="0.3">
      <c r="A494" s="29" t="s">
        <v>994</v>
      </c>
      <c r="B494" s="15"/>
      <c r="C494" s="16" t="e">
        <f>IF([2]!Artículos4[[#This Row],[Proveedor (código)]]="","",VLOOKUP([2]!Artículos4[[#This Row],[Proveedor (código)]],[2]Proveedores!A:B,2,FALSE))</f>
        <v>#REF!</v>
      </c>
      <c r="D494" s="29"/>
      <c r="E494" s="29" t="s">
        <v>44</v>
      </c>
      <c r="F494" s="51"/>
      <c r="G494" s="14"/>
      <c r="H494" s="14"/>
      <c r="I494" s="14"/>
      <c r="J494" s="16">
        <f>SUMIFS(Entradas!G:G,Entradas!E:E,Artículos[[#This Row],[Código]])</f>
        <v>0</v>
      </c>
      <c r="K494" s="16">
        <f>SUMIFS(Salidas!G:G,Salidas!E:E,Artículos[[#This Row],[Código]])</f>
        <v>0</v>
      </c>
      <c r="L494" s="16">
        <f>Artículos[[#This Row],[Existencias iniciales]]+Artículos[[#This Row],[Entradas]]-Artículos[[#This Row],[Salidas]]</f>
        <v>0</v>
      </c>
      <c r="M494" s="16"/>
      <c r="N494" s="16"/>
    </row>
    <row r="495" spans="1:14" ht="14.4" hidden="1" customHeight="1" x14ac:dyDescent="0.3">
      <c r="A495" s="29" t="s">
        <v>995</v>
      </c>
      <c r="B495" s="15"/>
      <c r="C495" s="16" t="e">
        <f>IF([2]!Artículos4[[#This Row],[Proveedor (código)]]="","",VLOOKUP([2]!Artículos4[[#This Row],[Proveedor (código)]],[2]Proveedores!A:B,2,FALSE))</f>
        <v>#REF!</v>
      </c>
      <c r="D495" s="29"/>
      <c r="E495" s="29" t="s">
        <v>44</v>
      </c>
      <c r="F495" s="51"/>
      <c r="G495" s="14"/>
      <c r="H495" s="14"/>
      <c r="I495" s="14"/>
      <c r="J495" s="16">
        <f>SUMIFS(Entradas!G:G,Entradas!E:E,Artículos[[#This Row],[Código]])</f>
        <v>0</v>
      </c>
      <c r="K495" s="16">
        <f>SUMIFS(Salidas!G:G,Salidas!E:E,Artículos[[#This Row],[Código]])</f>
        <v>0</v>
      </c>
      <c r="L495" s="16">
        <f>Artículos[[#This Row],[Existencias iniciales]]+Artículos[[#This Row],[Entradas]]-Artículos[[#This Row],[Salidas]]</f>
        <v>0</v>
      </c>
      <c r="M495" s="16"/>
      <c r="N495" s="16"/>
    </row>
    <row r="496" spans="1:14" ht="14.4" hidden="1" customHeight="1" x14ac:dyDescent="0.3">
      <c r="A496" s="29" t="s">
        <v>996</v>
      </c>
      <c r="B496" s="15"/>
      <c r="C496" s="16" t="e">
        <f>IF([2]!Artículos4[[#This Row],[Proveedor (código)]]="","",VLOOKUP([2]!Artículos4[[#This Row],[Proveedor (código)]],[2]Proveedores!A:B,2,FALSE))</f>
        <v>#REF!</v>
      </c>
      <c r="D496" s="29"/>
      <c r="E496" s="29" t="s">
        <v>44</v>
      </c>
      <c r="F496" s="51"/>
      <c r="G496" s="14"/>
      <c r="H496" s="14"/>
      <c r="I496" s="14"/>
      <c r="J496" s="16">
        <f>SUMIFS(Entradas!G:G,Entradas!E:E,Artículos[[#This Row],[Código]])</f>
        <v>0</v>
      </c>
      <c r="K496" s="16">
        <f>SUMIFS(Salidas!G:G,Salidas!E:E,Artículos[[#This Row],[Código]])</f>
        <v>0</v>
      </c>
      <c r="L496" s="16">
        <f>Artículos[[#This Row],[Existencias iniciales]]+Artículos[[#This Row],[Entradas]]-Artículos[[#This Row],[Salidas]]</f>
        <v>0</v>
      </c>
      <c r="M496" s="16"/>
      <c r="N496" s="16"/>
    </row>
    <row r="497" spans="1:14" ht="14.4" hidden="1" customHeight="1" x14ac:dyDescent="0.3">
      <c r="A497" s="29" t="s">
        <v>997</v>
      </c>
      <c r="B497" s="15"/>
      <c r="C497" s="16" t="e">
        <f>IF([2]!Artículos4[[#This Row],[Proveedor (código)]]="","",VLOOKUP([2]!Artículos4[[#This Row],[Proveedor (código)]],[2]Proveedores!A:B,2,FALSE))</f>
        <v>#REF!</v>
      </c>
      <c r="D497" s="29"/>
      <c r="E497" s="29" t="s">
        <v>44</v>
      </c>
      <c r="F497" s="51"/>
      <c r="G497" s="14"/>
      <c r="H497" s="14"/>
      <c r="I497" s="14"/>
      <c r="J497" s="16">
        <f>SUMIFS(Entradas!G:G,Entradas!E:E,Artículos[[#This Row],[Código]])</f>
        <v>0</v>
      </c>
      <c r="K497" s="16">
        <f>SUMIFS(Salidas!G:G,Salidas!E:E,Artículos[[#This Row],[Código]])</f>
        <v>0</v>
      </c>
      <c r="L497" s="16">
        <f>Artículos[[#This Row],[Existencias iniciales]]+Artículos[[#This Row],[Entradas]]-Artículos[[#This Row],[Salidas]]</f>
        <v>0</v>
      </c>
      <c r="M497" s="16"/>
      <c r="N497" s="16"/>
    </row>
    <row r="498" spans="1:14" ht="14.4" hidden="1" customHeight="1" x14ac:dyDescent="0.3">
      <c r="A498" s="29" t="s">
        <v>1270</v>
      </c>
      <c r="B498" s="15"/>
      <c r="C498" s="16" t="e">
        <f>IF([2]!Artículos4[[#This Row],[Proveedor (código)]]="","",VLOOKUP([2]!Artículos4[[#This Row],[Proveedor (código)]],[2]Proveedores!A:B,2,FALSE))</f>
        <v>#REF!</v>
      </c>
      <c r="D498" s="29" t="s">
        <v>1391</v>
      </c>
      <c r="E498" s="29" t="s">
        <v>518</v>
      </c>
      <c r="F498" s="51"/>
      <c r="G498" s="14"/>
      <c r="H498" s="14"/>
      <c r="I498" s="14"/>
      <c r="J498" s="16">
        <f>SUMIFS(Entradas!G:G,Entradas!E:E,Artículos[[#This Row],[Código]])</f>
        <v>10</v>
      </c>
      <c r="K498" s="16">
        <f>SUMIFS(Salidas!G:G,Salidas!E:E,Artículos[[#This Row],[Código]])</f>
        <v>29</v>
      </c>
      <c r="L498" s="16">
        <f>Artículos[[#This Row],[Existencias iniciales]]+Artículos[[#This Row],[Entradas]]-Artículos[[#This Row],[Salidas]]</f>
        <v>-19</v>
      </c>
      <c r="M498" s="16"/>
      <c r="N498" s="16"/>
    </row>
    <row r="499" spans="1:14" ht="14.4" hidden="1" customHeight="1" x14ac:dyDescent="0.3">
      <c r="A499" s="29" t="s">
        <v>1271</v>
      </c>
      <c r="B499" s="15"/>
      <c r="C499" s="16" t="e">
        <f>IF([2]!Artículos4[[#This Row],[Proveedor (código)]]="","",VLOOKUP([2]!Artículos4[[#This Row],[Proveedor (código)]],[2]Proveedores!A:B,2,FALSE))</f>
        <v>#REF!</v>
      </c>
      <c r="D499" s="29" t="s">
        <v>1392</v>
      </c>
      <c r="E499" s="29" t="s">
        <v>518</v>
      </c>
      <c r="F499" s="51"/>
      <c r="G499" s="14"/>
      <c r="H499" s="14"/>
      <c r="I499" s="14"/>
      <c r="J499" s="16">
        <f>SUMIFS(Entradas!G:G,Entradas!E:E,Artículos[[#This Row],[Código]])</f>
        <v>40</v>
      </c>
      <c r="K499" s="16">
        <f>SUMIFS(Salidas!G:G,Salidas!E:E,Artículos[[#This Row],[Código]])</f>
        <v>5</v>
      </c>
      <c r="L499" s="16">
        <f>Artículos[[#This Row],[Existencias iniciales]]+Artículos[[#This Row],[Entradas]]-Artículos[[#This Row],[Salidas]]</f>
        <v>35</v>
      </c>
      <c r="M499" s="16"/>
      <c r="N499" s="16"/>
    </row>
    <row r="500" spans="1:14" ht="14.4" hidden="1" customHeight="1" x14ac:dyDescent="0.3">
      <c r="A500" s="29" t="s">
        <v>1272</v>
      </c>
      <c r="B500" s="15"/>
      <c r="C500" s="16" t="e">
        <f>IF([2]!Artículos4[[#This Row],[Proveedor (código)]]="","",VLOOKUP([2]!Artículos4[[#This Row],[Proveedor (código)]],[2]Proveedores!A:B,2,FALSE))</f>
        <v>#REF!</v>
      </c>
      <c r="D500" s="29"/>
      <c r="E500" s="29" t="s">
        <v>518</v>
      </c>
      <c r="F500" s="51"/>
      <c r="G500" s="14"/>
      <c r="H500" s="14"/>
      <c r="I500" s="14"/>
      <c r="J500" s="16">
        <f>SUMIFS(Entradas!G:G,Entradas!E:E,Artículos[[#This Row],[Código]])</f>
        <v>0</v>
      </c>
      <c r="K500" s="16">
        <f>SUMIFS(Salidas!G:G,Salidas!E:E,Artículos[[#This Row],[Código]])</f>
        <v>0</v>
      </c>
      <c r="L500" s="16">
        <f>Artículos[[#This Row],[Existencias iniciales]]+Artículos[[#This Row],[Entradas]]-Artículos[[#This Row],[Salidas]]</f>
        <v>0</v>
      </c>
      <c r="M500" s="16"/>
      <c r="N500" s="16"/>
    </row>
    <row r="501" spans="1:14" ht="14.4" hidden="1" customHeight="1" x14ac:dyDescent="0.3">
      <c r="A501" s="29" t="s">
        <v>1273</v>
      </c>
      <c r="B501" s="15"/>
      <c r="C501" s="16" t="e">
        <f>IF([2]!Artículos4[[#This Row],[Proveedor (código)]]="","",VLOOKUP([2]!Artículos4[[#This Row],[Proveedor (código)]],[2]Proveedores!A:B,2,FALSE))</f>
        <v>#REF!</v>
      </c>
      <c r="D501" s="29"/>
      <c r="E501" s="29" t="s">
        <v>518</v>
      </c>
      <c r="F501" s="51"/>
      <c r="G501" s="14"/>
      <c r="H501" s="14"/>
      <c r="I501" s="14"/>
      <c r="J501" s="16">
        <f>SUMIFS(Entradas!G:G,Entradas!E:E,Artículos[[#This Row],[Código]])</f>
        <v>0</v>
      </c>
      <c r="K501" s="16">
        <f>SUMIFS(Salidas!G:G,Salidas!E:E,Artículos[[#This Row],[Código]])</f>
        <v>0</v>
      </c>
      <c r="L501" s="16">
        <f>Artículos[[#This Row],[Existencias iniciales]]+Artículos[[#This Row],[Entradas]]-Artículos[[#This Row],[Salidas]]</f>
        <v>0</v>
      </c>
      <c r="M501" s="16"/>
      <c r="N501" s="16"/>
    </row>
    <row r="502" spans="1:14" ht="14.4" hidden="1" customHeight="1" x14ac:dyDescent="0.3">
      <c r="A502" s="29" t="s">
        <v>1274</v>
      </c>
      <c r="B502" s="15"/>
      <c r="C502" s="16" t="e">
        <f>IF([2]!Artículos4[[#This Row],[Proveedor (código)]]="","",VLOOKUP([2]!Artículos4[[#This Row],[Proveedor (código)]],[2]Proveedores!A:B,2,FALSE))</f>
        <v>#REF!</v>
      </c>
      <c r="D502" s="29"/>
      <c r="E502" s="29" t="s">
        <v>518</v>
      </c>
      <c r="F502" s="51"/>
      <c r="G502" s="14"/>
      <c r="H502" s="14"/>
      <c r="I502" s="14"/>
      <c r="J502" s="16">
        <f>SUMIFS(Entradas!G:G,Entradas!E:E,Artículos[[#This Row],[Código]])</f>
        <v>0</v>
      </c>
      <c r="K502" s="16">
        <f>SUMIFS(Salidas!G:G,Salidas!E:E,Artículos[[#This Row],[Código]])</f>
        <v>0</v>
      </c>
      <c r="L502" s="16">
        <f>Artículos[[#This Row],[Existencias iniciales]]+Artículos[[#This Row],[Entradas]]-Artículos[[#This Row],[Salidas]]</f>
        <v>0</v>
      </c>
      <c r="M502" s="16"/>
      <c r="N502" s="16"/>
    </row>
    <row r="503" spans="1:14" ht="14.4" hidden="1" customHeight="1" x14ac:dyDescent="0.3">
      <c r="A503" s="29" t="s">
        <v>1275</v>
      </c>
      <c r="B503" s="15"/>
      <c r="C503" s="16" t="e">
        <f>IF([2]!Artículos4[[#This Row],[Proveedor (código)]]="","",VLOOKUP([2]!Artículos4[[#This Row],[Proveedor (código)]],[2]Proveedores!A:B,2,FALSE))</f>
        <v>#REF!</v>
      </c>
      <c r="D503" s="29"/>
      <c r="E503" s="29" t="s">
        <v>518</v>
      </c>
      <c r="F503" s="51"/>
      <c r="G503" s="14"/>
      <c r="H503" s="14"/>
      <c r="I503" s="14"/>
      <c r="J503" s="16">
        <f>SUMIFS(Entradas!G:G,Entradas!E:E,Artículos[[#This Row],[Código]])</f>
        <v>0</v>
      </c>
      <c r="K503" s="16">
        <f>SUMIFS(Salidas!G:G,Salidas!E:E,Artículos[[#This Row],[Código]])</f>
        <v>0</v>
      </c>
      <c r="L503" s="16">
        <f>Artículos[[#This Row],[Existencias iniciales]]+Artículos[[#This Row],[Entradas]]-Artículos[[#This Row],[Salidas]]</f>
        <v>0</v>
      </c>
      <c r="M503" s="16"/>
      <c r="N503" s="16"/>
    </row>
    <row r="504" spans="1:14" ht="14.4" hidden="1" customHeight="1" x14ac:dyDescent="0.3">
      <c r="A504" s="29" t="s">
        <v>1276</v>
      </c>
      <c r="B504" s="15"/>
      <c r="C504" s="16" t="e">
        <f>IF([2]!Artículos4[[#This Row],[Proveedor (código)]]="","",VLOOKUP([2]!Artículos4[[#This Row],[Proveedor (código)]],[2]Proveedores!A:B,2,FALSE))</f>
        <v>#REF!</v>
      </c>
      <c r="D504" s="29"/>
      <c r="E504" s="29" t="s">
        <v>518</v>
      </c>
      <c r="F504" s="51"/>
      <c r="G504" s="14"/>
      <c r="H504" s="14"/>
      <c r="I504" s="14"/>
      <c r="J504" s="16">
        <f>SUMIFS(Entradas!G:G,Entradas!E:E,Artículos[[#This Row],[Código]])</f>
        <v>0</v>
      </c>
      <c r="K504" s="16">
        <f>SUMIFS(Salidas!G:G,Salidas!E:E,Artículos[[#This Row],[Código]])</f>
        <v>0</v>
      </c>
      <c r="L504" s="16">
        <f>Artículos[[#This Row],[Existencias iniciales]]+Artículos[[#This Row],[Entradas]]-Artículos[[#This Row],[Salidas]]</f>
        <v>0</v>
      </c>
      <c r="M504" s="16"/>
      <c r="N504" s="16"/>
    </row>
    <row r="505" spans="1:14" ht="14.4" hidden="1" customHeight="1" x14ac:dyDescent="0.3">
      <c r="A505" s="29" t="s">
        <v>1277</v>
      </c>
      <c r="B505" s="15"/>
      <c r="C505" s="16" t="e">
        <f>IF([2]!Artículos4[[#This Row],[Proveedor (código)]]="","",VLOOKUP([2]!Artículos4[[#This Row],[Proveedor (código)]],[2]Proveedores!A:B,2,FALSE))</f>
        <v>#REF!</v>
      </c>
      <c r="D505" s="29"/>
      <c r="E505" s="29" t="s">
        <v>518</v>
      </c>
      <c r="F505" s="51"/>
      <c r="G505" s="14"/>
      <c r="H505" s="14"/>
      <c r="I505" s="14"/>
      <c r="J505" s="16">
        <f>SUMIFS(Entradas!G:G,Entradas!E:E,Artículos[[#This Row],[Código]])</f>
        <v>0</v>
      </c>
      <c r="K505" s="16">
        <f>SUMIFS(Salidas!G:G,Salidas!E:E,Artículos[[#This Row],[Código]])</f>
        <v>0</v>
      </c>
      <c r="L505" s="16">
        <f>Artículos[[#This Row],[Existencias iniciales]]+Artículos[[#This Row],[Entradas]]-Artículos[[#This Row],[Salidas]]</f>
        <v>0</v>
      </c>
      <c r="M505" s="16"/>
      <c r="N505" s="16"/>
    </row>
    <row r="506" spans="1:14" ht="14.4" hidden="1" customHeight="1" x14ac:dyDescent="0.3">
      <c r="A506" s="29" t="s">
        <v>1278</v>
      </c>
      <c r="B506" s="15"/>
      <c r="C506" s="16" t="e">
        <f>IF([2]!Artículos4[[#This Row],[Proveedor (código)]]="","",VLOOKUP([2]!Artículos4[[#This Row],[Proveedor (código)]],[2]Proveedores!A:B,2,FALSE))</f>
        <v>#REF!</v>
      </c>
      <c r="D506" s="29"/>
      <c r="E506" s="29" t="s">
        <v>518</v>
      </c>
      <c r="F506" s="51"/>
      <c r="G506" s="14"/>
      <c r="H506" s="14"/>
      <c r="I506" s="14"/>
      <c r="J506" s="16">
        <f>SUMIFS(Entradas!G:G,Entradas!E:E,Artículos[[#This Row],[Código]])</f>
        <v>0</v>
      </c>
      <c r="K506" s="16">
        <f>SUMIFS(Salidas!G:G,Salidas!E:E,Artículos[[#This Row],[Código]])</f>
        <v>0</v>
      </c>
      <c r="L506" s="16">
        <f>Artículos[[#This Row],[Existencias iniciales]]+Artículos[[#This Row],[Entradas]]-Artículos[[#This Row],[Salidas]]</f>
        <v>0</v>
      </c>
      <c r="M506" s="16"/>
      <c r="N506" s="16"/>
    </row>
    <row r="507" spans="1:14" ht="14.4" hidden="1" customHeight="1" x14ac:dyDescent="0.3">
      <c r="A507" s="29" t="s">
        <v>723</v>
      </c>
      <c r="B507" s="15"/>
      <c r="C507" s="16" t="e">
        <f>IF([2]!Artículos4[[#This Row],[Proveedor (código)]]="","",VLOOKUP([2]!Artículos4[[#This Row],[Proveedor (código)]],[2]Proveedores!A:B,2,FALSE))</f>
        <v>#REF!</v>
      </c>
      <c r="D507" s="29" t="s">
        <v>519</v>
      </c>
      <c r="E507" s="29" t="s">
        <v>520</v>
      </c>
      <c r="F507" s="51"/>
      <c r="G507" s="14"/>
      <c r="H507" s="14"/>
      <c r="I507" s="14"/>
      <c r="J507" s="16">
        <f>SUMIFS(Entradas!G:G,Entradas!E:E,Artículos[[#This Row],[Código]])</f>
        <v>5</v>
      </c>
      <c r="K507" s="16">
        <f>SUMIFS(Salidas!G:G,Salidas!E:E,Artículos[[#This Row],[Código]])</f>
        <v>215</v>
      </c>
      <c r="L507" s="16">
        <f>Artículos[[#This Row],[Existencias iniciales]]+Artículos[[#This Row],[Entradas]]-Artículos[[#This Row],[Salidas]]</f>
        <v>-210</v>
      </c>
      <c r="M507" s="16"/>
      <c r="N507" s="16"/>
    </row>
    <row r="508" spans="1:14" ht="14.4" hidden="1" customHeight="1" x14ac:dyDescent="0.3">
      <c r="A508" s="29" t="s">
        <v>724</v>
      </c>
      <c r="B508" s="15"/>
      <c r="C508" s="16" t="e">
        <f>IF([2]!Artículos4[[#This Row],[Proveedor (código)]]="","",VLOOKUP([2]!Artículos4[[#This Row],[Proveedor (código)]],[2]Proveedores!A:B,2,FALSE))</f>
        <v>#REF!</v>
      </c>
      <c r="D508" s="29" t="s">
        <v>521</v>
      </c>
      <c r="E508" s="29" t="s">
        <v>520</v>
      </c>
      <c r="F508" s="51"/>
      <c r="G508" s="14"/>
      <c r="H508" s="14"/>
      <c r="I508" s="14"/>
      <c r="J508" s="16">
        <f>SUMIFS(Entradas!G:G,Entradas!E:E,Artículos[[#This Row],[Código]])</f>
        <v>4.335</v>
      </c>
      <c r="K508" s="16">
        <f>SUMIFS(Salidas!G:G,Salidas!E:E,Artículos[[#This Row],[Código]])</f>
        <v>0</v>
      </c>
      <c r="L508" s="16">
        <f>Artículos[[#This Row],[Existencias iniciales]]+Artículos[[#This Row],[Entradas]]-Artículos[[#This Row],[Salidas]]</f>
        <v>4.335</v>
      </c>
      <c r="M508" s="16"/>
      <c r="N508" s="16"/>
    </row>
    <row r="509" spans="1:14" ht="14.4" hidden="1" customHeight="1" x14ac:dyDescent="0.3">
      <c r="A509" s="29" t="s">
        <v>725</v>
      </c>
      <c r="B509" s="15"/>
      <c r="C509" s="16" t="e">
        <f>IF([2]!Artículos4[[#This Row],[Proveedor (código)]]="","",VLOOKUP([2]!Artículos4[[#This Row],[Proveedor (código)]],[2]Proveedores!A:B,2,FALSE))</f>
        <v>#REF!</v>
      </c>
      <c r="D509" s="29" t="s">
        <v>522</v>
      </c>
      <c r="E509" s="29" t="s">
        <v>520</v>
      </c>
      <c r="F509" s="51"/>
      <c r="G509" s="14"/>
      <c r="H509" s="14"/>
      <c r="I509" s="14"/>
      <c r="J509" s="16">
        <f>SUMIFS(Entradas!G:G,Entradas!E:E,Artículos[[#This Row],[Código]])</f>
        <v>1.81</v>
      </c>
      <c r="K509" s="16">
        <f>SUMIFS(Salidas!G:G,Salidas!E:E,Artículos[[#This Row],[Código]])</f>
        <v>0</v>
      </c>
      <c r="L509" s="16">
        <f>Artículos[[#This Row],[Existencias iniciales]]+Artículos[[#This Row],[Entradas]]-Artículos[[#This Row],[Salidas]]</f>
        <v>1.81</v>
      </c>
      <c r="M509" s="16"/>
      <c r="N509" s="16"/>
    </row>
    <row r="510" spans="1:14" ht="14.4" hidden="1" customHeight="1" x14ac:dyDescent="0.3">
      <c r="A510" s="29" t="s">
        <v>726</v>
      </c>
      <c r="B510" s="15"/>
      <c r="C510" s="16" t="e">
        <f>IF([2]!Artículos4[[#This Row],[Proveedor (código)]]="","",VLOOKUP([2]!Artículos4[[#This Row],[Proveedor (código)]],[2]Proveedores!A:B,2,FALSE))</f>
        <v>#REF!</v>
      </c>
      <c r="D510" s="29" t="s">
        <v>523</v>
      </c>
      <c r="E510" s="29" t="s">
        <v>520</v>
      </c>
      <c r="F510" s="51"/>
      <c r="G510" s="14"/>
      <c r="H510" s="14"/>
      <c r="I510" s="14"/>
      <c r="J510" s="16">
        <f>SUMIFS(Entradas!G:G,Entradas!E:E,Artículos[[#This Row],[Código]])</f>
        <v>0</v>
      </c>
      <c r="K510" s="16">
        <f>SUMIFS(Salidas!G:G,Salidas!E:E,Artículos[[#This Row],[Código]])</f>
        <v>0</v>
      </c>
      <c r="L510" s="16">
        <f>Artículos[[#This Row],[Existencias iniciales]]+Artículos[[#This Row],[Entradas]]-Artículos[[#This Row],[Salidas]]</f>
        <v>0</v>
      </c>
      <c r="M510" s="16"/>
      <c r="N510" s="16"/>
    </row>
    <row r="511" spans="1:14" ht="14.4" hidden="1" customHeight="1" x14ac:dyDescent="0.3">
      <c r="A511" s="29" t="s">
        <v>727</v>
      </c>
      <c r="B511" s="15">
        <v>1</v>
      </c>
      <c r="C511" s="16" t="e">
        <f>IF([2]!Artículos4[[#This Row],[Proveedor (código)]]="","",VLOOKUP([2]!Artículos4[[#This Row],[Proveedor (código)]],[2]Proveedores!A:B,2,FALSE))</f>
        <v>#REF!</v>
      </c>
      <c r="D511" s="29" t="s">
        <v>524</v>
      </c>
      <c r="E511" s="29" t="s">
        <v>520</v>
      </c>
      <c r="F511" s="51"/>
      <c r="G511" s="14"/>
      <c r="H511" s="14"/>
      <c r="I511" s="14"/>
      <c r="J511" s="16">
        <f>SUMIFS(Entradas!G:G,Entradas!E:E,Artículos[[#This Row],[Código]])</f>
        <v>5.0350000000000001</v>
      </c>
      <c r="K511" s="16">
        <f>SUMIFS(Salidas!G:G,Salidas!E:E,Artículos[[#This Row],[Código]])</f>
        <v>0</v>
      </c>
      <c r="L511" s="16">
        <f>Artículos[[#This Row],[Existencias iniciales]]+Artículos[[#This Row],[Entradas]]-Artículos[[#This Row],[Salidas]]</f>
        <v>5.0350000000000001</v>
      </c>
      <c r="M511" s="16" t="s">
        <v>48</v>
      </c>
      <c r="N511" s="16"/>
    </row>
    <row r="512" spans="1:14" ht="14.4" hidden="1" customHeight="1" x14ac:dyDescent="0.3">
      <c r="A512" s="29" t="s">
        <v>728</v>
      </c>
      <c r="B512" s="15">
        <v>1</v>
      </c>
      <c r="C512" s="16" t="e">
        <f>IF([2]!Artículos4[[#This Row],[Proveedor (código)]]="","",VLOOKUP([2]!Artículos4[[#This Row],[Proveedor (código)]],[2]Proveedores!A:B,2,FALSE))</f>
        <v>#REF!</v>
      </c>
      <c r="D512" s="29" t="s">
        <v>525</v>
      </c>
      <c r="E512" s="29" t="s">
        <v>520</v>
      </c>
      <c r="F512" s="51"/>
      <c r="G512" s="14"/>
      <c r="H512" s="14"/>
      <c r="I512" s="14"/>
      <c r="J512" s="16">
        <f>SUMIFS(Entradas!G:G,Entradas!E:E,Artículos[[#This Row],[Código]])</f>
        <v>6.2949999999999999</v>
      </c>
      <c r="K512" s="16">
        <f>SUMIFS(Salidas!G:G,Salidas!E:E,Artículos[[#This Row],[Código]])</f>
        <v>0</v>
      </c>
      <c r="L512" s="16">
        <f>Artículos[[#This Row],[Existencias iniciales]]+Artículos[[#This Row],[Entradas]]-Artículos[[#This Row],[Salidas]]</f>
        <v>6.2949999999999999</v>
      </c>
      <c r="M512" s="16" t="s">
        <v>48</v>
      </c>
      <c r="N512" s="16"/>
    </row>
    <row r="513" spans="1:14" ht="14.4" hidden="1" customHeight="1" x14ac:dyDescent="0.3">
      <c r="A513" s="29" t="s">
        <v>729</v>
      </c>
      <c r="B513" s="15"/>
      <c r="C513" s="16" t="e">
        <f>IF([2]!Artículos4[[#This Row],[Proveedor (código)]]="","",VLOOKUP([2]!Artículos4[[#This Row],[Proveedor (código)]],[2]Proveedores!A:B,2,FALSE))</f>
        <v>#REF!</v>
      </c>
      <c r="D513" s="29" t="s">
        <v>526</v>
      </c>
      <c r="E513" s="29" t="s">
        <v>520</v>
      </c>
      <c r="F513" s="51"/>
      <c r="G513" s="14"/>
      <c r="H513" s="14"/>
      <c r="I513" s="14">
        <v>1</v>
      </c>
      <c r="J513" s="16">
        <f>SUMIFS(Entradas!G:G,Entradas!E:E,Artículos[[#This Row],[Código]])</f>
        <v>3.8</v>
      </c>
      <c r="K513" s="16">
        <f>SUMIFS(Salidas!G:G,Salidas!E:E,Artículos[[#This Row],[Código]])</f>
        <v>0</v>
      </c>
      <c r="L513" s="16">
        <f>Artículos[[#This Row],[Existencias iniciales]]+Artículos[[#This Row],[Entradas]]-Artículos[[#This Row],[Salidas]]</f>
        <v>4.8</v>
      </c>
      <c r="M513" s="16" t="s">
        <v>48</v>
      </c>
      <c r="N513" s="16"/>
    </row>
    <row r="514" spans="1:14" ht="14.4" hidden="1" customHeight="1" x14ac:dyDescent="0.3">
      <c r="A514" s="29" t="s">
        <v>730</v>
      </c>
      <c r="B514" s="15">
        <v>1</v>
      </c>
      <c r="C514" s="16" t="e">
        <f>IF([2]!Artículos4[[#This Row],[Proveedor (código)]]="","",VLOOKUP([2]!Artículos4[[#This Row],[Proveedor (código)]],[2]Proveedores!A:B,2,FALSE))</f>
        <v>#REF!</v>
      </c>
      <c r="D514" s="29" t="s">
        <v>527</v>
      </c>
      <c r="E514" s="29" t="s">
        <v>520</v>
      </c>
      <c r="F514" s="51"/>
      <c r="G514" s="14"/>
      <c r="H514" s="14"/>
      <c r="I514" s="14"/>
      <c r="J514" s="16">
        <f>SUMIFS(Entradas!G:G,Entradas!E:E,Artículos[[#This Row],[Código]])</f>
        <v>1.56</v>
      </c>
      <c r="K514" s="16">
        <f>SUMIFS(Salidas!G:G,Salidas!E:E,Artículos[[#This Row],[Código]])</f>
        <v>0</v>
      </c>
      <c r="L514" s="16">
        <f>Artículos[[#This Row],[Existencias iniciales]]+Artículos[[#This Row],[Entradas]]-Artículos[[#This Row],[Salidas]]</f>
        <v>1.56</v>
      </c>
      <c r="M514" s="16" t="s">
        <v>91</v>
      </c>
      <c r="N514" s="16"/>
    </row>
    <row r="515" spans="1:14" ht="14.4" hidden="1" customHeight="1" x14ac:dyDescent="0.3">
      <c r="A515" s="29" t="s">
        <v>731</v>
      </c>
      <c r="B515" s="15"/>
      <c r="C515" s="16" t="e">
        <f>IF([2]!Artículos4[[#This Row],[Proveedor (código)]]="","",VLOOKUP([2]!Artículos4[[#This Row],[Proveedor (código)]],[2]Proveedores!A:B,2,FALSE))</f>
        <v>#REF!</v>
      </c>
      <c r="D515" s="29" t="s">
        <v>528</v>
      </c>
      <c r="E515" s="29" t="s">
        <v>520</v>
      </c>
      <c r="F515" s="51"/>
      <c r="G515" s="14"/>
      <c r="H515" s="14"/>
      <c r="I515" s="14">
        <v>1</v>
      </c>
      <c r="J515" s="16">
        <f>SUMIFS(Entradas!G:G,Entradas!E:E,Artículos[[#This Row],[Código]])</f>
        <v>0</v>
      </c>
      <c r="K515" s="16">
        <f>SUMIFS(Salidas!G:G,Salidas!E:E,Artículos[[#This Row],[Código]])</f>
        <v>0</v>
      </c>
      <c r="L515" s="16">
        <f>Artículos[[#This Row],[Existencias iniciales]]+Artículos[[#This Row],[Entradas]]-Artículos[[#This Row],[Salidas]]</f>
        <v>1</v>
      </c>
      <c r="M515" s="16" t="s">
        <v>69</v>
      </c>
      <c r="N515" s="16"/>
    </row>
    <row r="516" spans="1:14" ht="14.4" hidden="1" customHeight="1" x14ac:dyDescent="0.3">
      <c r="A516" s="29" t="s">
        <v>732</v>
      </c>
      <c r="B516" s="15">
        <v>1</v>
      </c>
      <c r="C516" s="16" t="e">
        <f>IF([2]!Artículos4[[#This Row],[Proveedor (código)]]="","",VLOOKUP([2]!Artículos4[[#This Row],[Proveedor (código)]],[2]Proveedores!A:B,2,FALSE))</f>
        <v>#REF!</v>
      </c>
      <c r="D516" s="29" t="s">
        <v>529</v>
      </c>
      <c r="E516" s="29" t="s">
        <v>520</v>
      </c>
      <c r="F516" s="51"/>
      <c r="G516" s="14"/>
      <c r="H516" s="14"/>
      <c r="I516" s="14"/>
      <c r="J516" s="16">
        <f>SUMIFS(Entradas!G:G,Entradas!E:E,Artículos[[#This Row],[Código]])</f>
        <v>0.95</v>
      </c>
      <c r="K516" s="16">
        <f>SUMIFS(Salidas!G:G,Salidas!E:E,Artículos[[#This Row],[Código]])</f>
        <v>0</v>
      </c>
      <c r="L516" s="16">
        <f>Artículos[[#This Row],[Existencias iniciales]]+Artículos[[#This Row],[Entradas]]-Artículos[[#This Row],[Salidas]]</f>
        <v>0.95</v>
      </c>
      <c r="M516" s="16" t="s">
        <v>69</v>
      </c>
      <c r="N516" s="16"/>
    </row>
    <row r="517" spans="1:14" ht="14.4" hidden="1" customHeight="1" x14ac:dyDescent="0.3">
      <c r="A517" s="29" t="s">
        <v>733</v>
      </c>
      <c r="B517" s="15"/>
      <c r="C517" s="16" t="e">
        <f>IF([2]!Artículos4[[#This Row],[Proveedor (código)]]="","",VLOOKUP([2]!Artículos4[[#This Row],[Proveedor (código)]],[2]Proveedores!A:B,2,FALSE))</f>
        <v>#REF!</v>
      </c>
      <c r="D517" s="29" t="s">
        <v>530</v>
      </c>
      <c r="E517" s="29" t="s">
        <v>520</v>
      </c>
      <c r="F517" s="51">
        <v>18.149999999999999</v>
      </c>
      <c r="G517" s="14"/>
      <c r="H517" s="14"/>
      <c r="I517" s="14">
        <v>2</v>
      </c>
      <c r="J517" s="16">
        <f>SUMIFS(Entradas!G:G,Entradas!E:E,Artículos[[#This Row],[Código]])</f>
        <v>2</v>
      </c>
      <c r="K517" s="16">
        <f>SUMIFS(Salidas!G:G,Salidas!E:E,Artículos[[#This Row],[Código]])</f>
        <v>0</v>
      </c>
      <c r="L517" s="16">
        <f>Artículos[[#This Row],[Existencias iniciales]]+Artículos[[#This Row],[Entradas]]-Artículos[[#This Row],[Salidas]]</f>
        <v>4</v>
      </c>
      <c r="M517" s="16" t="s">
        <v>69</v>
      </c>
      <c r="N517" s="16"/>
    </row>
    <row r="518" spans="1:14" ht="14.4" hidden="1" customHeight="1" x14ac:dyDescent="0.3">
      <c r="A518" s="29" t="s">
        <v>734</v>
      </c>
      <c r="B518" s="15">
        <v>1</v>
      </c>
      <c r="C518" s="16" t="e">
        <f>IF([2]!Artículos4[[#This Row],[Proveedor (código)]]="","",VLOOKUP([2]!Artículos4[[#This Row],[Proveedor (código)]],[2]Proveedores!A:B,2,FALSE))</f>
        <v>#REF!</v>
      </c>
      <c r="D518" s="29" t="s">
        <v>531</v>
      </c>
      <c r="E518" s="29" t="s">
        <v>520</v>
      </c>
      <c r="F518" s="51">
        <v>10.53</v>
      </c>
      <c r="G518" s="14"/>
      <c r="H518" s="14"/>
      <c r="I518" s="14"/>
      <c r="J518" s="16">
        <f>SUMIFS(Entradas!G:G,Entradas!E:E,Artículos[[#This Row],[Código]])</f>
        <v>4</v>
      </c>
      <c r="K518" s="16">
        <f>SUMIFS(Salidas!G:G,Salidas!E:E,Artículos[[#This Row],[Código]])</f>
        <v>0</v>
      </c>
      <c r="L518" s="16">
        <f>Artículos[[#This Row],[Existencias iniciales]]+Artículos[[#This Row],[Entradas]]-Artículos[[#This Row],[Salidas]]</f>
        <v>4</v>
      </c>
      <c r="M518" s="16" t="s">
        <v>49</v>
      </c>
      <c r="N518" s="16"/>
    </row>
    <row r="519" spans="1:14" ht="14.4" hidden="1" customHeight="1" x14ac:dyDescent="0.3">
      <c r="A519" s="29" t="s">
        <v>735</v>
      </c>
      <c r="B519" s="15">
        <v>1</v>
      </c>
      <c r="C519" s="16" t="e">
        <f>IF([2]!Artículos4[[#This Row],[Proveedor (código)]]="","",VLOOKUP([2]!Artículos4[[#This Row],[Proveedor (código)]],[2]Proveedores!A:B,2,FALSE))</f>
        <v>#REF!</v>
      </c>
      <c r="D519" s="29" t="s">
        <v>532</v>
      </c>
      <c r="E519" s="29" t="s">
        <v>520</v>
      </c>
      <c r="F519" s="51"/>
      <c r="G519" s="14"/>
      <c r="H519" s="14"/>
      <c r="I519" s="14"/>
      <c r="J519" s="16">
        <f>SUMIFS(Entradas!G:G,Entradas!E:E,Artículos[[#This Row],[Código]])</f>
        <v>3</v>
      </c>
      <c r="K519" s="16">
        <f>SUMIFS(Salidas!G:G,Salidas!E:E,Artículos[[#This Row],[Código]])</f>
        <v>0</v>
      </c>
      <c r="L519" s="16">
        <f>Artículos[[#This Row],[Existencias iniciales]]+Artículos[[#This Row],[Entradas]]-Artículos[[#This Row],[Salidas]]</f>
        <v>3</v>
      </c>
      <c r="M519" s="16" t="s">
        <v>49</v>
      </c>
      <c r="N519" s="16"/>
    </row>
    <row r="520" spans="1:14" ht="14.4" hidden="1" customHeight="1" x14ac:dyDescent="0.3">
      <c r="A520" s="29" t="s">
        <v>736</v>
      </c>
      <c r="B520" s="15"/>
      <c r="C520" s="16" t="e">
        <f>IF([2]!Artículos4[[#This Row],[Proveedor (código)]]="","",VLOOKUP([2]!Artículos4[[#This Row],[Proveedor (código)]],[2]Proveedores!A:B,2,FALSE))</f>
        <v>#REF!</v>
      </c>
      <c r="D520" s="29" t="s">
        <v>533</v>
      </c>
      <c r="E520" s="29" t="s">
        <v>520</v>
      </c>
      <c r="F520" s="51"/>
      <c r="G520" s="14"/>
      <c r="H520" s="14"/>
      <c r="I520" s="14"/>
      <c r="J520" s="16">
        <f>SUMIFS(Entradas!G:G,Entradas!E:E,Artículos[[#This Row],[Código]])</f>
        <v>0</v>
      </c>
      <c r="K520" s="16">
        <f>SUMIFS(Salidas!G:G,Salidas!E:E,Artículos[[#This Row],[Código]])</f>
        <v>0</v>
      </c>
      <c r="L520" s="16">
        <f>Artículos[[#This Row],[Existencias iniciales]]+Artículos[[#This Row],[Entradas]]-Artículos[[#This Row],[Salidas]]</f>
        <v>0</v>
      </c>
      <c r="M520" s="16" t="s">
        <v>49</v>
      </c>
      <c r="N520" s="16"/>
    </row>
    <row r="521" spans="1:14" ht="14.4" hidden="1" customHeight="1" x14ac:dyDescent="0.3">
      <c r="A521" s="29" t="s">
        <v>737</v>
      </c>
      <c r="B521" s="15"/>
      <c r="C521" s="16" t="e">
        <f>IF([2]!Artículos4[[#This Row],[Proveedor (código)]]="","",VLOOKUP([2]!Artículos4[[#This Row],[Proveedor (código)]],[2]Proveedores!A:B,2,FALSE))</f>
        <v>#REF!</v>
      </c>
      <c r="D521" s="29" t="s">
        <v>534</v>
      </c>
      <c r="E521" s="29" t="s">
        <v>520</v>
      </c>
      <c r="F521" s="53">
        <v>1.5</v>
      </c>
      <c r="G521" s="14"/>
      <c r="H521" s="14"/>
      <c r="I521" s="14"/>
      <c r="J521" s="16">
        <f>SUMIFS(Entradas!G:G,Entradas!E:E,Artículos[[#This Row],[Código]])</f>
        <v>0</v>
      </c>
      <c r="K521" s="16">
        <f>SUMIFS(Salidas!G:G,Salidas!E:E,Artículos[[#This Row],[Código]])</f>
        <v>2</v>
      </c>
      <c r="L521" s="16">
        <f>Artículos[[#This Row],[Existencias iniciales]]+Artículos[[#This Row],[Entradas]]-Artículos[[#This Row],[Salidas]]</f>
        <v>-2</v>
      </c>
      <c r="M521" s="16" t="s">
        <v>49</v>
      </c>
      <c r="N521" s="16"/>
    </row>
    <row r="522" spans="1:14" ht="14.4" hidden="1" customHeight="1" x14ac:dyDescent="0.3">
      <c r="A522" s="29" t="s">
        <v>738</v>
      </c>
      <c r="B522" s="15">
        <v>1</v>
      </c>
      <c r="C522" s="16" t="e">
        <f>IF([2]!Artículos4[[#This Row],[Proveedor (código)]]="","",VLOOKUP([2]!Artículos4[[#This Row],[Proveedor (código)]],[2]Proveedores!A:B,2,FALSE))</f>
        <v>#REF!</v>
      </c>
      <c r="D522" s="29" t="s">
        <v>535</v>
      </c>
      <c r="E522" s="29" t="s">
        <v>520</v>
      </c>
      <c r="F522" s="51"/>
      <c r="G522" s="14"/>
      <c r="H522" s="14"/>
      <c r="I522" s="14"/>
      <c r="J522" s="16">
        <f>SUMIFS(Entradas!G:G,Entradas!E:E,Artículos[[#This Row],[Código]])</f>
        <v>0</v>
      </c>
      <c r="K522" s="16">
        <f>SUMIFS(Salidas!G:G,Salidas!E:E,Artículos[[#This Row],[Código]])</f>
        <v>0</v>
      </c>
      <c r="L522" s="16">
        <f>Artículos[[#This Row],[Existencias iniciales]]+Artículos[[#This Row],[Entradas]]-Artículos[[#This Row],[Salidas]]</f>
        <v>0</v>
      </c>
      <c r="M522" s="16" t="s">
        <v>49</v>
      </c>
      <c r="N522" s="16"/>
    </row>
    <row r="523" spans="1:14" ht="14.4" hidden="1" customHeight="1" x14ac:dyDescent="0.3">
      <c r="A523" s="29" t="s">
        <v>739</v>
      </c>
      <c r="B523" s="15"/>
      <c r="C523" s="16" t="e">
        <f>IF([2]!Artículos4[[#This Row],[Proveedor (código)]]="","",VLOOKUP([2]!Artículos4[[#This Row],[Proveedor (código)]],[2]Proveedores!A:B,2,FALSE))</f>
        <v>#REF!</v>
      </c>
      <c r="D523" s="29" t="s">
        <v>536</v>
      </c>
      <c r="E523" s="29" t="s">
        <v>520</v>
      </c>
      <c r="F523" s="51"/>
      <c r="G523" s="14"/>
      <c r="H523" s="14"/>
      <c r="I523" s="14"/>
      <c r="J523" s="16">
        <f>SUMIFS(Entradas!G:G,Entradas!E:E,Artículos[[#This Row],[Código]])</f>
        <v>0</v>
      </c>
      <c r="K523" s="16">
        <f>SUMIFS(Salidas!G:G,Salidas!E:E,Artículos[[#This Row],[Código]])</f>
        <v>0</v>
      </c>
      <c r="L523" s="16">
        <f>Artículos[[#This Row],[Existencias iniciales]]+Artículos[[#This Row],[Entradas]]-Artículos[[#This Row],[Salidas]]</f>
        <v>0</v>
      </c>
      <c r="M523" s="16" t="s">
        <v>49</v>
      </c>
      <c r="N523" s="16"/>
    </row>
    <row r="524" spans="1:14" ht="14.4" hidden="1" customHeight="1" x14ac:dyDescent="0.3">
      <c r="A524" s="29" t="s">
        <v>740</v>
      </c>
      <c r="B524" s="15">
        <v>1</v>
      </c>
      <c r="C524" s="16" t="e">
        <f>IF([2]!Artículos4[[#This Row],[Proveedor (código)]]="","",VLOOKUP([2]!Artículos4[[#This Row],[Proveedor (código)]],[2]Proveedores!A:B,2,FALSE))</f>
        <v>#REF!</v>
      </c>
      <c r="D524" s="29" t="s">
        <v>537</v>
      </c>
      <c r="E524" s="29" t="s">
        <v>520</v>
      </c>
      <c r="F524" s="51"/>
      <c r="G524" s="14"/>
      <c r="H524" s="14"/>
      <c r="I524" s="14"/>
      <c r="J524" s="16">
        <f>SUMIFS(Entradas!G:G,Entradas!E:E,Artículos[[#This Row],[Código]])</f>
        <v>0</v>
      </c>
      <c r="K524" s="16">
        <f>SUMIFS(Salidas!G:G,Salidas!E:E,Artículos[[#This Row],[Código]])</f>
        <v>0</v>
      </c>
      <c r="L524" s="16">
        <f>Artículos[[#This Row],[Existencias iniciales]]+Artículos[[#This Row],[Entradas]]-Artículos[[#This Row],[Salidas]]</f>
        <v>0</v>
      </c>
      <c r="M524" s="16" t="s">
        <v>50</v>
      </c>
      <c r="N524" s="16"/>
    </row>
    <row r="525" spans="1:14" ht="14.4" hidden="1" customHeight="1" x14ac:dyDescent="0.3">
      <c r="A525" s="29" t="s">
        <v>741</v>
      </c>
      <c r="B525" s="15">
        <v>1</v>
      </c>
      <c r="C525" s="16" t="e">
        <f>IF([2]!Artículos4[[#This Row],[Proveedor (código)]]="","",VLOOKUP([2]!Artículos4[[#This Row],[Proveedor (código)]],[2]Proveedores!A:B,2,FALSE))</f>
        <v>#REF!</v>
      </c>
      <c r="D525" s="29" t="s">
        <v>538</v>
      </c>
      <c r="E525" s="29" t="s">
        <v>520</v>
      </c>
      <c r="F525" s="51"/>
      <c r="G525" s="14"/>
      <c r="H525" s="14"/>
      <c r="I525" s="14"/>
      <c r="J525" s="16">
        <f>SUMIFS(Entradas!G:G,Entradas!E:E,Artículos[[#This Row],[Código]])</f>
        <v>0</v>
      </c>
      <c r="K525" s="16">
        <f>SUMIFS(Salidas!G:G,Salidas!E:E,Artículos[[#This Row],[Código]])</f>
        <v>3</v>
      </c>
      <c r="L525" s="16">
        <f>Artículos[[#This Row],[Existencias iniciales]]+Artículos[[#This Row],[Entradas]]-Artículos[[#This Row],[Salidas]]</f>
        <v>-3</v>
      </c>
      <c r="M525" s="16" t="s">
        <v>51</v>
      </c>
      <c r="N525" s="16"/>
    </row>
    <row r="526" spans="1:14" ht="14.4" hidden="1" customHeight="1" x14ac:dyDescent="0.3">
      <c r="A526" s="29" t="s">
        <v>742</v>
      </c>
      <c r="B526" s="36"/>
      <c r="C526" s="37" t="e">
        <f>IF([2]!Artículos4[[#This Row],[Proveedor (código)]]="","",VLOOKUP([2]!Artículos4[[#This Row],[Proveedor (código)]],[2]Proveedores!A:B,2,FALSE))</f>
        <v>#REF!</v>
      </c>
      <c r="D526" s="29" t="s">
        <v>539</v>
      </c>
      <c r="E526" s="29" t="s">
        <v>520</v>
      </c>
      <c r="F526" s="51"/>
      <c r="G526" s="14"/>
      <c r="H526" s="14"/>
      <c r="I526" s="38"/>
      <c r="J526" s="16">
        <f>SUMIFS(Entradas!G:G,Entradas!E:E,Artículos[[#This Row],[Código]])</f>
        <v>0</v>
      </c>
      <c r="K526" s="16">
        <f>SUMIFS(Salidas!G:G,Salidas!E:E,Artículos[[#This Row],[Código]])</f>
        <v>0</v>
      </c>
      <c r="L526" s="16">
        <f>Artículos[[#This Row],[Existencias iniciales]]+Artículos[[#This Row],[Entradas]]-Artículos[[#This Row],[Salidas]]</f>
        <v>0</v>
      </c>
      <c r="M526" s="16" t="s">
        <v>51</v>
      </c>
      <c r="N526" s="16"/>
    </row>
    <row r="527" spans="1:14" ht="14.4" hidden="1" customHeight="1" x14ac:dyDescent="0.3">
      <c r="A527" s="29" t="s">
        <v>743</v>
      </c>
      <c r="B527" s="36"/>
      <c r="C527" s="37" t="e">
        <f>IF([2]!Artículos4[[#This Row],[Proveedor (código)]]="","",VLOOKUP([2]!Artículos4[[#This Row],[Proveedor (código)]],[2]Proveedores!A:B,2,FALSE))</f>
        <v>#REF!</v>
      </c>
      <c r="D527" s="29" t="s">
        <v>540</v>
      </c>
      <c r="E527" s="29" t="s">
        <v>520</v>
      </c>
      <c r="F527" s="51">
        <v>12.63</v>
      </c>
      <c r="G527" s="14"/>
      <c r="H527" s="14"/>
      <c r="I527" s="38"/>
      <c r="J527" s="16">
        <f>SUMIFS(Entradas!G:G,Entradas!E:E,Artículos[[#This Row],[Código]])</f>
        <v>1.5</v>
      </c>
      <c r="K527" s="16">
        <f>SUMIFS(Salidas!G:G,Salidas!E:E,Artículos[[#This Row],[Código]])</f>
        <v>0</v>
      </c>
      <c r="L527" s="16">
        <f>Artículos[[#This Row],[Existencias iniciales]]+Artículos[[#This Row],[Entradas]]-Artículos[[#This Row],[Salidas]]</f>
        <v>1.5</v>
      </c>
      <c r="M527" s="16" t="s">
        <v>51</v>
      </c>
      <c r="N527" s="16"/>
    </row>
    <row r="528" spans="1:14" ht="14.4" hidden="1" customHeight="1" x14ac:dyDescent="0.3">
      <c r="A528" s="29" t="s">
        <v>744</v>
      </c>
      <c r="B528" s="15">
        <v>1</v>
      </c>
      <c r="C528" s="16" t="e">
        <f>IF([2]!Artículos4[[#This Row],[Proveedor (código)]]="","",VLOOKUP([2]!Artículos4[[#This Row],[Proveedor (código)]],[2]Proveedores!A:B,2,FALSE))</f>
        <v>#REF!</v>
      </c>
      <c r="D528" s="29" t="s">
        <v>541</v>
      </c>
      <c r="E528" s="29" t="s">
        <v>520</v>
      </c>
      <c r="F528" s="51"/>
      <c r="G528" s="14"/>
      <c r="H528" s="14"/>
      <c r="I528" s="14"/>
      <c r="J528" s="16">
        <f>SUMIFS(Entradas!G:G,Entradas!E:E,Artículos[[#This Row],[Código]])</f>
        <v>0</v>
      </c>
      <c r="K528" s="16">
        <f>SUMIFS(Salidas!G:G,Salidas!E:E,Artículos[[#This Row],[Código]])</f>
        <v>0</v>
      </c>
      <c r="L528" s="16">
        <f>Artículos[[#This Row],[Existencias iniciales]]+Artículos[[#This Row],[Entradas]]-Artículos[[#This Row],[Salidas]]</f>
        <v>0</v>
      </c>
      <c r="M528" s="16" t="s">
        <v>51</v>
      </c>
      <c r="N528" s="16"/>
    </row>
    <row r="529" spans="1:14" ht="14.4" hidden="1" customHeight="1" x14ac:dyDescent="0.3">
      <c r="A529" s="29" t="s">
        <v>745</v>
      </c>
      <c r="B529" s="15">
        <v>1</v>
      </c>
      <c r="C529" s="16" t="e">
        <f>IF([2]!Artículos4[[#This Row],[Proveedor (código)]]="","",VLOOKUP([2]!Artículos4[[#This Row],[Proveedor (código)]],[2]Proveedores!A:B,2,FALSE))</f>
        <v>#REF!</v>
      </c>
      <c r="D529" s="29" t="s">
        <v>542</v>
      </c>
      <c r="E529" s="29" t="s">
        <v>520</v>
      </c>
      <c r="F529" s="51"/>
      <c r="G529" s="14"/>
      <c r="H529" s="14"/>
      <c r="I529" s="14"/>
      <c r="J529" s="16">
        <f>SUMIFS(Entradas!G:G,Entradas!E:E,Artículos[[#This Row],[Código]])</f>
        <v>0.85</v>
      </c>
      <c r="K529" s="16">
        <f>SUMIFS(Salidas!G:G,Salidas!E:E,Artículos[[#This Row],[Código]])</f>
        <v>0</v>
      </c>
      <c r="L529" s="16">
        <f>Artículos[[#This Row],[Existencias iniciales]]+Artículos[[#This Row],[Entradas]]-Artículos[[#This Row],[Salidas]]</f>
        <v>0.85</v>
      </c>
      <c r="M529" s="16" t="s">
        <v>55</v>
      </c>
      <c r="N529" s="16"/>
    </row>
    <row r="530" spans="1:14" ht="14.4" hidden="1" customHeight="1" x14ac:dyDescent="0.3">
      <c r="A530" s="29" t="s">
        <v>746</v>
      </c>
      <c r="B530" s="15">
        <v>1</v>
      </c>
      <c r="C530" s="16" t="e">
        <f>IF([2]!Artículos4[[#This Row],[Proveedor (código)]]="","",VLOOKUP([2]!Artículos4[[#This Row],[Proveedor (código)]],[2]Proveedores!A:B,2,FALSE))</f>
        <v>#REF!</v>
      </c>
      <c r="D530" s="29" t="s">
        <v>1384</v>
      </c>
      <c r="E530" s="29" t="s">
        <v>520</v>
      </c>
      <c r="F530" s="51">
        <v>12.12</v>
      </c>
      <c r="G530" s="14"/>
      <c r="H530" s="14"/>
      <c r="I530" s="14"/>
      <c r="J530" s="16">
        <f>SUMIFS(Entradas!G:G,Entradas!E:E,Artículos[[#This Row],[Código]])</f>
        <v>11.955</v>
      </c>
      <c r="K530" s="16">
        <f>SUMIFS(Salidas!G:G,Salidas!E:E,Artículos[[#This Row],[Código]])</f>
        <v>0</v>
      </c>
      <c r="L530" s="16">
        <f>Artículos[[#This Row],[Existencias iniciales]]+Artículos[[#This Row],[Entradas]]-Artículos[[#This Row],[Salidas]]</f>
        <v>11.955</v>
      </c>
      <c r="M530" s="16" t="s">
        <v>54</v>
      </c>
      <c r="N530" s="16"/>
    </row>
    <row r="531" spans="1:14" ht="14.4" hidden="1" customHeight="1" x14ac:dyDescent="0.3">
      <c r="A531" s="29" t="s">
        <v>747</v>
      </c>
      <c r="B531" s="15"/>
      <c r="C531" s="16" t="e">
        <f>IF([2]!Artículos4[[#This Row],[Proveedor (código)]]="","",VLOOKUP([2]!Artículos4[[#This Row],[Proveedor (código)]],[2]Proveedores!A:B,2,FALSE))</f>
        <v>#REF!</v>
      </c>
      <c r="D531" s="29"/>
      <c r="E531" s="29" t="s">
        <v>520</v>
      </c>
      <c r="F531" s="51"/>
      <c r="G531" s="14"/>
      <c r="H531" s="14"/>
      <c r="I531" s="14"/>
      <c r="J531" s="16">
        <f>SUMIFS(Entradas!G:G,Entradas!E:E,Artículos[[#This Row],[Código]])</f>
        <v>0</v>
      </c>
      <c r="K531" s="16">
        <f>SUMIFS(Salidas!G:G,Salidas!E:E,Artículos[[#This Row],[Código]])</f>
        <v>0</v>
      </c>
      <c r="L531" s="16">
        <f>Artículos[[#This Row],[Existencias iniciales]]+Artículos[[#This Row],[Entradas]]-Artículos[[#This Row],[Salidas]]</f>
        <v>0</v>
      </c>
      <c r="M531" s="16" t="s">
        <v>54</v>
      </c>
      <c r="N531" s="16"/>
    </row>
    <row r="532" spans="1:14" ht="14.4" hidden="1" customHeight="1" x14ac:dyDescent="0.3">
      <c r="A532" s="29" t="s">
        <v>773</v>
      </c>
      <c r="B532" s="15">
        <v>1</v>
      </c>
      <c r="C532" s="16" t="e">
        <f>IF([2]!Artículos4[[#This Row],[Proveedor (código)]]="","",VLOOKUP([2]!Artículos4[[#This Row],[Proveedor (código)]],[2]Proveedores!A:B,2,FALSE))</f>
        <v>#REF!</v>
      </c>
      <c r="D532" s="29" t="s">
        <v>544</v>
      </c>
      <c r="E532" s="29" t="s">
        <v>545</v>
      </c>
      <c r="F532" s="51"/>
      <c r="G532" s="14"/>
      <c r="H532" s="14"/>
      <c r="I532" s="14"/>
      <c r="J532" s="16">
        <f>SUMIFS(Entradas!G:G,Entradas!E:E,Artículos[[#This Row],[Código]])</f>
        <v>9.9</v>
      </c>
      <c r="K532" s="16">
        <f>SUMIFS(Salidas!G:G,Salidas!E:E,Artículos[[#This Row],[Código]])</f>
        <v>2</v>
      </c>
      <c r="L532" s="16">
        <f>Artículos[[#This Row],[Existencias iniciales]]+Artículos[[#This Row],[Entradas]]-Artículos[[#This Row],[Salidas]]</f>
        <v>7.9</v>
      </c>
      <c r="M532" s="16" t="s">
        <v>54</v>
      </c>
      <c r="N532" s="16"/>
    </row>
    <row r="533" spans="1:14" ht="14.4" hidden="1" customHeight="1" x14ac:dyDescent="0.3">
      <c r="A533" s="29" t="s">
        <v>774</v>
      </c>
      <c r="B533" s="15"/>
      <c r="C533" s="16" t="e">
        <f>IF([2]!Artículos4[[#This Row],[Proveedor (código)]]="","",VLOOKUP([2]!Artículos4[[#This Row],[Proveedor (código)]],[2]Proveedores!A:B,2,FALSE))</f>
        <v>#REF!</v>
      </c>
      <c r="D533" s="29" t="s">
        <v>546</v>
      </c>
      <c r="E533" s="29" t="s">
        <v>545</v>
      </c>
      <c r="F533" s="51"/>
      <c r="G533" s="14"/>
      <c r="H533" s="14"/>
      <c r="I533" s="14">
        <v>1</v>
      </c>
      <c r="J533" s="16">
        <f>SUMIFS(Entradas!G:G,Entradas!E:E,Artículos[[#This Row],[Código]])</f>
        <v>8.36</v>
      </c>
      <c r="K533" s="16">
        <f>SUMIFS(Salidas!G:G,Salidas!E:E,Artículos[[#This Row],[Código]])</f>
        <v>7</v>
      </c>
      <c r="L533" s="16">
        <f>Artículos[[#This Row],[Existencias iniciales]]+Artículos[[#This Row],[Entradas]]-Artículos[[#This Row],[Salidas]]</f>
        <v>2.3599999999999994</v>
      </c>
      <c r="M533" s="16" t="s">
        <v>52</v>
      </c>
      <c r="N533" s="16"/>
    </row>
    <row r="534" spans="1:14" ht="14.4" hidden="1" customHeight="1" x14ac:dyDescent="0.3">
      <c r="A534" s="29" t="s">
        <v>775</v>
      </c>
      <c r="B534" s="15">
        <v>1</v>
      </c>
      <c r="C534" s="16" t="e">
        <f>IF([2]!Artículos4[[#This Row],[Proveedor (código)]]="","",VLOOKUP([2]!Artículos4[[#This Row],[Proveedor (código)]],[2]Proveedores!A:B,2,FALSE))</f>
        <v>#REF!</v>
      </c>
      <c r="D534" s="29" t="s">
        <v>547</v>
      </c>
      <c r="E534" s="29" t="s">
        <v>545</v>
      </c>
      <c r="F534" s="51"/>
      <c r="G534" s="14"/>
      <c r="H534" s="14"/>
      <c r="I534" s="14"/>
      <c r="J534" s="16">
        <f>SUMIFS(Entradas!G:G,Entradas!E:E,Artículos[[#This Row],[Código]])</f>
        <v>1.605</v>
      </c>
      <c r="K534" s="16">
        <f>SUMIFS(Salidas!G:G,Salidas!E:E,Artículos[[#This Row],[Código]])</f>
        <v>0</v>
      </c>
      <c r="L534" s="16">
        <f>Artículos[[#This Row],[Existencias iniciales]]+Artículos[[#This Row],[Entradas]]-Artículos[[#This Row],[Salidas]]</f>
        <v>1.605</v>
      </c>
      <c r="M534" s="16" t="s">
        <v>56</v>
      </c>
      <c r="N534" s="16"/>
    </row>
    <row r="535" spans="1:14" ht="14.4" hidden="1" customHeight="1" x14ac:dyDescent="0.3">
      <c r="A535" s="29" t="s">
        <v>776</v>
      </c>
      <c r="B535" s="15">
        <v>1</v>
      </c>
      <c r="C535" s="16" t="e">
        <f>IF([2]!Artículos4[[#This Row],[Proveedor (código)]]="","",VLOOKUP([2]!Artículos4[[#This Row],[Proveedor (código)]],[2]Proveedores!A:B,2,FALSE))</f>
        <v>#REF!</v>
      </c>
      <c r="D535" s="29" t="s">
        <v>548</v>
      </c>
      <c r="E535" s="29" t="s">
        <v>545</v>
      </c>
      <c r="F535" s="51"/>
      <c r="G535" s="14"/>
      <c r="H535" s="14"/>
      <c r="I535" s="14"/>
      <c r="J535" s="16">
        <f>SUMIFS(Entradas!G:G,Entradas!E:E,Artículos[[#This Row],[Código]])</f>
        <v>0.79</v>
      </c>
      <c r="K535" s="16">
        <f>SUMIFS(Salidas!G:G,Salidas!E:E,Artículos[[#This Row],[Código]])</f>
        <v>0</v>
      </c>
      <c r="L535" s="16">
        <f>Artículos[[#This Row],[Existencias iniciales]]+Artículos[[#This Row],[Entradas]]-Artículos[[#This Row],[Salidas]]</f>
        <v>0.79</v>
      </c>
      <c r="M535" s="16" t="s">
        <v>56</v>
      </c>
      <c r="N535" s="16"/>
    </row>
    <row r="536" spans="1:14" ht="14.4" hidden="1" customHeight="1" x14ac:dyDescent="0.3">
      <c r="A536" s="29" t="s">
        <v>777</v>
      </c>
      <c r="B536" s="15">
        <v>1</v>
      </c>
      <c r="C536" s="16" t="e">
        <f>IF([2]!Artículos4[[#This Row],[Proveedor (código)]]="","",VLOOKUP([2]!Artículos4[[#This Row],[Proveedor (código)]],[2]Proveedores!A:B,2,FALSE))</f>
        <v>#REF!</v>
      </c>
      <c r="D536" s="29" t="s">
        <v>549</v>
      </c>
      <c r="E536" s="29" t="s">
        <v>545</v>
      </c>
      <c r="F536" s="51"/>
      <c r="G536" s="14"/>
      <c r="H536" s="14"/>
      <c r="I536" s="14">
        <v>21</v>
      </c>
      <c r="J536" s="16">
        <f>SUMIFS(Entradas!G:G,Entradas!E:E,Artículos[[#This Row],[Código]])</f>
        <v>2.9849999999999999</v>
      </c>
      <c r="K536" s="16">
        <f>SUMIFS(Salidas!G:G,Salidas!E:E,Artículos[[#This Row],[Código]])</f>
        <v>8</v>
      </c>
      <c r="L536" s="16">
        <f>Artículos[[#This Row],[Existencias iniciales]]+Artículos[[#This Row],[Entradas]]-Artículos[[#This Row],[Salidas]]</f>
        <v>15.984999999999999</v>
      </c>
      <c r="M536" s="16" t="s">
        <v>56</v>
      </c>
      <c r="N536" s="16"/>
    </row>
    <row r="537" spans="1:14" ht="14.4" hidden="1" customHeight="1" x14ac:dyDescent="0.3">
      <c r="A537" s="29" t="s">
        <v>778</v>
      </c>
      <c r="B537" s="15"/>
      <c r="C537" s="16" t="e">
        <f>IF([2]!Artículos4[[#This Row],[Proveedor (código)]]="","",VLOOKUP([2]!Artículos4[[#This Row],[Proveedor (código)]],[2]Proveedores!A:B,2,FALSE))</f>
        <v>#REF!</v>
      </c>
      <c r="D537" s="29" t="s">
        <v>550</v>
      </c>
      <c r="E537" s="29" t="s">
        <v>545</v>
      </c>
      <c r="F537" s="51"/>
      <c r="G537" s="14"/>
      <c r="H537" s="14"/>
      <c r="I537" s="14">
        <v>1</v>
      </c>
      <c r="J537" s="16">
        <f>SUMIFS(Entradas!G:G,Entradas!E:E,Artículos[[#This Row],[Código]])</f>
        <v>3.2</v>
      </c>
      <c r="K537" s="16">
        <f>SUMIFS(Salidas!G:G,Salidas!E:E,Artículos[[#This Row],[Código]])</f>
        <v>0</v>
      </c>
      <c r="L537" s="16">
        <f>Artículos[[#This Row],[Existencias iniciales]]+Artículos[[#This Row],[Entradas]]-Artículos[[#This Row],[Salidas]]</f>
        <v>4.2</v>
      </c>
      <c r="M537" s="16" t="s">
        <v>57</v>
      </c>
      <c r="N537" s="16"/>
    </row>
    <row r="538" spans="1:14" ht="14.4" hidden="1" customHeight="1" x14ac:dyDescent="0.3">
      <c r="A538" s="29" t="s">
        <v>779</v>
      </c>
      <c r="B538" s="15">
        <v>1</v>
      </c>
      <c r="C538" s="16" t="e">
        <f>IF([2]!Artículos4[[#This Row],[Proveedor (código)]]="","",VLOOKUP([2]!Artículos4[[#This Row],[Proveedor (código)]],[2]Proveedores!A:B,2,FALSE))</f>
        <v>#REF!</v>
      </c>
      <c r="D538" s="29" t="s">
        <v>551</v>
      </c>
      <c r="E538" s="29" t="s">
        <v>545</v>
      </c>
      <c r="F538" s="51"/>
      <c r="G538" s="14"/>
      <c r="H538" s="14"/>
      <c r="I538" s="14">
        <v>7</v>
      </c>
      <c r="J538" s="16">
        <f>SUMIFS(Entradas!G:G,Entradas!E:E,Artículos[[#This Row],[Código]])</f>
        <v>5</v>
      </c>
      <c r="K538" s="16">
        <f>SUMIFS(Salidas!G:G,Salidas!E:E,Artículos[[#This Row],[Código]])</f>
        <v>0</v>
      </c>
      <c r="L538" s="16">
        <f>Artículos[[#This Row],[Existencias iniciales]]+Artículos[[#This Row],[Entradas]]-Artículos[[#This Row],[Salidas]]</f>
        <v>12</v>
      </c>
      <c r="M538" s="16" t="s">
        <v>58</v>
      </c>
      <c r="N538" s="16"/>
    </row>
    <row r="539" spans="1:14" ht="14.4" hidden="1" customHeight="1" x14ac:dyDescent="0.3">
      <c r="A539" s="29" t="s">
        <v>780</v>
      </c>
      <c r="B539" s="15"/>
      <c r="C539" s="16" t="e">
        <f>IF([2]!Artículos4[[#This Row],[Proveedor (código)]]="","",VLOOKUP([2]!Artículos4[[#This Row],[Proveedor (código)]],[2]Proveedores!A:B,2,FALSE))</f>
        <v>#REF!</v>
      </c>
      <c r="D539" s="29" t="s">
        <v>552</v>
      </c>
      <c r="E539" s="29" t="s">
        <v>545</v>
      </c>
      <c r="F539" s="51"/>
      <c r="G539" s="14"/>
      <c r="H539" s="14"/>
      <c r="I539" s="14">
        <v>2</v>
      </c>
      <c r="J539" s="16">
        <f>SUMIFS(Entradas!G:G,Entradas!E:E,Artículos[[#This Row],[Código]])</f>
        <v>0</v>
      </c>
      <c r="K539" s="16">
        <f>SUMIFS(Salidas!G:G,Salidas!E:E,Artículos[[#This Row],[Código]])</f>
        <v>1</v>
      </c>
      <c r="L539" s="16">
        <f>Artículos[[#This Row],[Existencias iniciales]]+Artículos[[#This Row],[Entradas]]-Artículos[[#This Row],[Salidas]]</f>
        <v>1</v>
      </c>
      <c r="M539" s="16" t="s">
        <v>59</v>
      </c>
      <c r="N539" s="16"/>
    </row>
    <row r="540" spans="1:14" ht="14.4" hidden="1" customHeight="1" x14ac:dyDescent="0.3">
      <c r="A540" s="29" t="s">
        <v>781</v>
      </c>
      <c r="B540" s="15">
        <v>1</v>
      </c>
      <c r="C540" s="16" t="e">
        <f>IF([2]!Artículos4[[#This Row],[Proveedor (código)]]="","",VLOOKUP([2]!Artículos4[[#This Row],[Proveedor (código)]],[2]Proveedores!A:B,2,FALSE))</f>
        <v>#REF!</v>
      </c>
      <c r="D540" s="29" t="s">
        <v>553</v>
      </c>
      <c r="E540" s="29" t="s">
        <v>545</v>
      </c>
      <c r="F540" s="51"/>
      <c r="G540" s="14"/>
      <c r="H540" s="14"/>
      <c r="I540" s="14">
        <v>4</v>
      </c>
      <c r="J540" s="16">
        <f>SUMIFS(Entradas!G:G,Entradas!E:E,Artículos[[#This Row],[Código]])</f>
        <v>2</v>
      </c>
      <c r="K540" s="16">
        <f>SUMIFS(Salidas!G:G,Salidas!E:E,Artículos[[#This Row],[Código]])</f>
        <v>4</v>
      </c>
      <c r="L540" s="16">
        <f>Artículos[[#This Row],[Existencias iniciales]]+Artículos[[#This Row],[Entradas]]-Artículos[[#This Row],[Salidas]]</f>
        <v>2</v>
      </c>
      <c r="M540" s="16" t="s">
        <v>59</v>
      </c>
      <c r="N540" s="16"/>
    </row>
    <row r="541" spans="1:14" ht="14.4" hidden="1" customHeight="1" x14ac:dyDescent="0.3">
      <c r="A541" s="29" t="s">
        <v>782</v>
      </c>
      <c r="B541" s="15">
        <v>1</v>
      </c>
      <c r="C541" s="16" t="e">
        <f>IF([2]!Artículos4[[#This Row],[Proveedor (código)]]="","",VLOOKUP([2]!Artículos4[[#This Row],[Proveedor (código)]],[2]Proveedores!A:B,2,FALSE))</f>
        <v>#REF!</v>
      </c>
      <c r="D541" s="29" t="s">
        <v>554</v>
      </c>
      <c r="E541" s="29" t="s">
        <v>545</v>
      </c>
      <c r="F541" s="51"/>
      <c r="G541" s="14"/>
      <c r="H541" s="14"/>
      <c r="I541" s="14">
        <v>1</v>
      </c>
      <c r="J541" s="16">
        <f>SUMIFS(Entradas!G:G,Entradas!E:E,Artículos[[#This Row],[Código]])</f>
        <v>2.74</v>
      </c>
      <c r="K541" s="16">
        <f>SUMIFS(Salidas!G:G,Salidas!E:E,Artículos[[#This Row],[Código]])</f>
        <v>0</v>
      </c>
      <c r="L541" s="16">
        <f>Artículos[[#This Row],[Existencias iniciales]]+Artículos[[#This Row],[Entradas]]-Artículos[[#This Row],[Salidas]]</f>
        <v>3.74</v>
      </c>
      <c r="M541" s="16" t="s">
        <v>59</v>
      </c>
      <c r="N541" s="16"/>
    </row>
    <row r="542" spans="1:14" ht="14.4" hidden="1" customHeight="1" x14ac:dyDescent="0.3">
      <c r="A542" s="29" t="s">
        <v>784</v>
      </c>
      <c r="B542" s="15"/>
      <c r="C542" s="16" t="e">
        <f>IF([2]!Artículos4[[#This Row],[Proveedor (código)]]="","",VLOOKUP([2]!Artículos4[[#This Row],[Proveedor (código)]],[2]Proveedores!A:B,2,FALSE))</f>
        <v>#REF!</v>
      </c>
      <c r="D542" s="29" t="s">
        <v>1362</v>
      </c>
      <c r="E542" s="29" t="s">
        <v>545</v>
      </c>
      <c r="F542" s="51"/>
      <c r="G542" s="14"/>
      <c r="H542" s="14"/>
      <c r="I542" s="14">
        <v>4</v>
      </c>
      <c r="J542" s="16">
        <f>SUMIFS(Entradas!G:G,Entradas!E:E,Artículos[[#This Row],[Código]])</f>
        <v>3.98</v>
      </c>
      <c r="K542" s="16">
        <f>SUMIFS(Salidas!G:G,Salidas!E:E,Artículos[[#This Row],[Código]])</f>
        <v>1</v>
      </c>
      <c r="L542" s="16">
        <f>Artículos[[#This Row],[Existencias iniciales]]+Artículos[[#This Row],[Entradas]]-Artículos[[#This Row],[Salidas]]</f>
        <v>6.98</v>
      </c>
      <c r="M542" s="16" t="s">
        <v>71</v>
      </c>
      <c r="N542" s="16"/>
    </row>
    <row r="543" spans="1:14" ht="14.4" hidden="1" customHeight="1" x14ac:dyDescent="0.3">
      <c r="A543" s="29" t="s">
        <v>783</v>
      </c>
      <c r="B543" s="15"/>
      <c r="C543" s="16" t="e">
        <f>IF([2]!Artículos4[[#This Row],[Proveedor (código)]]="","",VLOOKUP([2]!Artículos4[[#This Row],[Proveedor (código)]],[2]Proveedores!A:B,2,FALSE))</f>
        <v>#REF!</v>
      </c>
      <c r="D543" s="29" t="s">
        <v>556</v>
      </c>
      <c r="E543" s="29" t="s">
        <v>545</v>
      </c>
      <c r="F543" s="51"/>
      <c r="G543" s="14"/>
      <c r="H543" s="14"/>
      <c r="I543" s="14">
        <v>3</v>
      </c>
      <c r="J543" s="16">
        <f>SUMIFS(Entradas!G:G,Entradas!E:E,Artículos[[#This Row],[Código]])</f>
        <v>2</v>
      </c>
      <c r="K543" s="16">
        <f>SUMIFS(Salidas!G:G,Salidas!E:E,Artículos[[#This Row],[Código]])</f>
        <v>0</v>
      </c>
      <c r="L543" s="16">
        <f>Artículos[[#This Row],[Existencias iniciales]]+Artículos[[#This Row],[Entradas]]-Artículos[[#This Row],[Salidas]]</f>
        <v>5</v>
      </c>
      <c r="M543" s="16" t="s">
        <v>87</v>
      </c>
      <c r="N543" s="16"/>
    </row>
    <row r="544" spans="1:14" ht="14.4" hidden="1" customHeight="1" x14ac:dyDescent="0.3">
      <c r="A544" s="29" t="s">
        <v>1302</v>
      </c>
      <c r="B544" s="15">
        <v>1</v>
      </c>
      <c r="C544" s="16" t="e">
        <f>IF([2]!Artículos4[[#This Row],[Proveedor (código)]]="","",VLOOKUP([2]!Artículos4[[#This Row],[Proveedor (código)]],[2]Proveedores!A:B,2,FALSE))</f>
        <v>#REF!</v>
      </c>
      <c r="D544" s="29" t="s">
        <v>557</v>
      </c>
      <c r="E544" s="29" t="s">
        <v>558</v>
      </c>
      <c r="F544" s="51"/>
      <c r="G544" s="14"/>
      <c r="H544" s="14"/>
      <c r="I544" s="14"/>
      <c r="J544" s="16">
        <f>SUMIFS(Entradas!G:G,Entradas!E:E,Artículos[[#This Row],[Código]])</f>
        <v>0</v>
      </c>
      <c r="K544" s="16">
        <f>SUMIFS(Salidas!G:G,Salidas!E:E,Artículos[[#This Row],[Código]])</f>
        <v>0</v>
      </c>
      <c r="L544" s="16">
        <f>Artículos[[#This Row],[Existencias iniciales]]+Artículos[[#This Row],[Entradas]]-Artículos[[#This Row],[Salidas]]</f>
        <v>0</v>
      </c>
      <c r="M544" s="16" t="s">
        <v>87</v>
      </c>
      <c r="N544" s="16"/>
    </row>
    <row r="545" spans="1:14" ht="14.4" hidden="1" customHeight="1" x14ac:dyDescent="0.3">
      <c r="A545" s="29" t="s">
        <v>1303</v>
      </c>
      <c r="B545" s="15">
        <v>1</v>
      </c>
      <c r="C545" s="16" t="e">
        <f>IF([2]!Artículos4[[#This Row],[Proveedor (código)]]="","",VLOOKUP([2]!Artículos4[[#This Row],[Proveedor (código)]],[2]Proveedores!A:B,2,FALSE))</f>
        <v>#REF!</v>
      </c>
      <c r="D545" s="29" t="s">
        <v>559</v>
      </c>
      <c r="E545" s="29" t="s">
        <v>558</v>
      </c>
      <c r="F545" s="51"/>
      <c r="G545" s="14"/>
      <c r="H545" s="14"/>
      <c r="I545" s="14">
        <v>1</v>
      </c>
      <c r="J545" s="16">
        <f>SUMIFS(Entradas!G:G,Entradas!E:E,Artículos[[#This Row],[Código]])</f>
        <v>0</v>
      </c>
      <c r="K545" s="16">
        <f>SUMIFS(Salidas!G:G,Salidas!E:E,Artículos[[#This Row],[Código]])</f>
        <v>0</v>
      </c>
      <c r="L545" s="16">
        <f>Artículos[[#This Row],[Existencias iniciales]]+Artículos[[#This Row],[Entradas]]-Artículos[[#This Row],[Salidas]]</f>
        <v>1</v>
      </c>
      <c r="M545" s="16" t="s">
        <v>60</v>
      </c>
      <c r="N545" s="16"/>
    </row>
    <row r="546" spans="1:14" ht="14.4" hidden="1" customHeight="1" x14ac:dyDescent="0.3">
      <c r="A546" s="29" t="s">
        <v>1304</v>
      </c>
      <c r="B546" s="15">
        <v>1</v>
      </c>
      <c r="C546" s="16" t="e">
        <f>IF([2]!Artículos4[[#This Row],[Proveedor (código)]]="","",VLOOKUP([2]!Artículos4[[#This Row],[Proveedor (código)]],[2]Proveedores!A:B,2,FALSE))</f>
        <v>#REF!</v>
      </c>
      <c r="D546" s="29" t="s">
        <v>560</v>
      </c>
      <c r="E546" s="29" t="s">
        <v>558</v>
      </c>
      <c r="F546" s="51"/>
      <c r="G546" s="14"/>
      <c r="H546" s="14"/>
      <c r="I546" s="14">
        <v>27</v>
      </c>
      <c r="J546" s="16">
        <f>SUMIFS(Entradas!G:G,Entradas!E:E,Artículos[[#This Row],[Código]])</f>
        <v>0</v>
      </c>
      <c r="K546" s="16">
        <f>SUMIFS(Salidas!G:G,Salidas!E:E,Artículos[[#This Row],[Código]])</f>
        <v>13</v>
      </c>
      <c r="L546" s="16">
        <f>Artículos[[#This Row],[Existencias iniciales]]+Artículos[[#This Row],[Entradas]]-Artículos[[#This Row],[Salidas]]</f>
        <v>14</v>
      </c>
      <c r="M546" s="16" t="s">
        <v>58</v>
      </c>
      <c r="N546" s="16"/>
    </row>
    <row r="547" spans="1:14" ht="14.4" hidden="1" customHeight="1" x14ac:dyDescent="0.3">
      <c r="A547" s="29" t="s">
        <v>1305</v>
      </c>
      <c r="B547" s="15">
        <v>1</v>
      </c>
      <c r="C547" s="16" t="e">
        <f>IF([2]!Artículos4[[#This Row],[Proveedor (código)]]="","",VLOOKUP([2]!Artículos4[[#This Row],[Proveedor (código)]],[2]Proveedores!A:B,2,FALSE))</f>
        <v>#REF!</v>
      </c>
      <c r="D547" s="29" t="s">
        <v>561</v>
      </c>
      <c r="E547" s="29" t="s">
        <v>558</v>
      </c>
      <c r="F547" s="51"/>
      <c r="G547" s="14"/>
      <c r="H547" s="14"/>
      <c r="I547" s="14">
        <v>10</v>
      </c>
      <c r="J547" s="16">
        <f>SUMIFS(Entradas!G:G,Entradas!E:E,Artículos[[#This Row],[Código]])</f>
        <v>0</v>
      </c>
      <c r="K547" s="16">
        <f>SUMIFS(Salidas!G:G,Salidas!E:E,Artículos[[#This Row],[Código]])</f>
        <v>2</v>
      </c>
      <c r="L547" s="16">
        <f>Artículos[[#This Row],[Existencias iniciales]]+Artículos[[#This Row],[Entradas]]-Artículos[[#This Row],[Salidas]]</f>
        <v>8</v>
      </c>
      <c r="M547" s="16" t="s">
        <v>61</v>
      </c>
      <c r="N547" s="16"/>
    </row>
    <row r="548" spans="1:14" ht="14.4" hidden="1" customHeight="1" x14ac:dyDescent="0.3">
      <c r="A548" s="29" t="s">
        <v>1306</v>
      </c>
      <c r="B548" s="15"/>
      <c r="C548" s="16" t="e">
        <f>IF([2]!Artículos4[[#This Row],[Proveedor (código)]]="","",VLOOKUP([2]!Artículos4[[#This Row],[Proveedor (código)]],[2]Proveedores!A:B,2,FALSE))</f>
        <v>#REF!</v>
      </c>
      <c r="D548" s="29" t="s">
        <v>562</v>
      </c>
      <c r="E548" s="29" t="s">
        <v>558</v>
      </c>
      <c r="F548" s="51"/>
      <c r="G548" s="14"/>
      <c r="H548" s="14"/>
      <c r="I548" s="14"/>
      <c r="J548" s="16">
        <f>SUMIFS(Entradas!G:G,Entradas!E:E,Artículos[[#This Row],[Código]])</f>
        <v>2.6100000000000003</v>
      </c>
      <c r="K548" s="16">
        <f>SUMIFS(Salidas!G:G,Salidas!E:E,Artículos[[#This Row],[Código]])</f>
        <v>0</v>
      </c>
      <c r="L548" s="16">
        <f>Artículos[[#This Row],[Existencias iniciales]]+Artículos[[#This Row],[Entradas]]-Artículos[[#This Row],[Salidas]]</f>
        <v>2.6100000000000003</v>
      </c>
      <c r="M548" s="16" t="s">
        <v>62</v>
      </c>
      <c r="N548" s="16"/>
    </row>
    <row r="549" spans="1:14" ht="14.4" hidden="1" customHeight="1" x14ac:dyDescent="0.3">
      <c r="A549" s="39" t="s">
        <v>1307</v>
      </c>
      <c r="B549" s="15"/>
      <c r="C549" s="16" t="e">
        <f>IF([2]!Artículos4[[#This Row],[Proveedor (código)]]="","",VLOOKUP([2]!Artículos4[[#This Row],[Proveedor (código)]],[2]Proveedores!A:B,2,FALSE))</f>
        <v>#REF!</v>
      </c>
      <c r="D549" s="29" t="s">
        <v>563</v>
      </c>
      <c r="E549" s="29" t="s">
        <v>558</v>
      </c>
      <c r="F549" s="51">
        <v>1</v>
      </c>
      <c r="G549" s="14"/>
      <c r="H549" s="14"/>
      <c r="I549" s="14">
        <v>2</v>
      </c>
      <c r="J549" s="16">
        <f>SUMIFS(Entradas!G:G,Entradas!E:E,Artículos[[#This Row],[Código]])</f>
        <v>2</v>
      </c>
      <c r="K549" s="16">
        <f>SUMIFS(Salidas!G:G,Salidas!E:E,Artículos[[#This Row],[Código]])</f>
        <v>0</v>
      </c>
      <c r="L549" s="16">
        <f>Artículos[[#This Row],[Existencias iniciales]]+Artículos[[#This Row],[Entradas]]-Artículos[[#This Row],[Salidas]]</f>
        <v>4</v>
      </c>
      <c r="M549" s="16" t="s">
        <v>87</v>
      </c>
      <c r="N549" s="16"/>
    </row>
    <row r="550" spans="1:14" ht="14.4" hidden="1" customHeight="1" x14ac:dyDescent="0.3">
      <c r="A550" s="29" t="s">
        <v>1308</v>
      </c>
      <c r="B550" s="15"/>
      <c r="C550" s="16" t="e">
        <f>IF([2]!Artículos4[[#This Row],[Proveedor (código)]]="","",VLOOKUP([2]!Artículos4[[#This Row],[Proveedor (código)]],[2]Proveedores!A:B,2,FALSE))</f>
        <v>#REF!</v>
      </c>
      <c r="D550" s="29" t="s">
        <v>564</v>
      </c>
      <c r="E550" s="29" t="s">
        <v>558</v>
      </c>
      <c r="F550" s="51"/>
      <c r="G550" s="14"/>
      <c r="H550" s="14"/>
      <c r="I550" s="14">
        <v>6</v>
      </c>
      <c r="J550" s="16">
        <f>SUMIFS(Entradas!G:G,Entradas!E:E,Artículos[[#This Row],[Código]])</f>
        <v>0</v>
      </c>
      <c r="K550" s="16">
        <f>SUMIFS(Salidas!G:G,Salidas!E:E,Artículos[[#This Row],[Código]])</f>
        <v>18</v>
      </c>
      <c r="L550" s="16">
        <f>Artículos[[#This Row],[Existencias iniciales]]+Artículos[[#This Row],[Entradas]]-Artículos[[#This Row],[Salidas]]</f>
        <v>-12</v>
      </c>
      <c r="M550" s="16" t="s">
        <v>63</v>
      </c>
      <c r="N550" s="16"/>
    </row>
    <row r="551" spans="1:14" ht="14.4" hidden="1" customHeight="1" x14ac:dyDescent="0.3">
      <c r="A551" s="29" t="s">
        <v>1309</v>
      </c>
      <c r="B551" s="15">
        <v>1</v>
      </c>
      <c r="C551" s="16" t="e">
        <f>IF([2]!Artículos4[[#This Row],[Proveedor (código)]]="","",VLOOKUP([2]!Artículos4[[#This Row],[Proveedor (código)]],[2]Proveedores!A:B,2,FALSE))</f>
        <v>#REF!</v>
      </c>
      <c r="D551" s="29" t="s">
        <v>565</v>
      </c>
      <c r="E551" s="29" t="s">
        <v>558</v>
      </c>
      <c r="F551" s="51"/>
      <c r="G551" s="14"/>
      <c r="H551" s="14"/>
      <c r="I551" s="14">
        <v>30</v>
      </c>
      <c r="J551" s="16">
        <f>SUMIFS(Entradas!G:G,Entradas!E:E,Artículos[[#This Row],[Código]])</f>
        <v>0.67</v>
      </c>
      <c r="K551" s="16">
        <f>SUMIFS(Salidas!G:G,Salidas!E:E,Artículos[[#This Row],[Código]])</f>
        <v>0</v>
      </c>
      <c r="L551" s="16">
        <f>Artículos[[#This Row],[Existencias iniciales]]+Artículos[[#This Row],[Entradas]]-Artículos[[#This Row],[Salidas]]</f>
        <v>30.67</v>
      </c>
      <c r="M551" s="16" t="s">
        <v>64</v>
      </c>
      <c r="N551" s="16"/>
    </row>
    <row r="552" spans="1:14" ht="14.4" hidden="1" customHeight="1" x14ac:dyDescent="0.3">
      <c r="A552" s="29" t="s">
        <v>1310</v>
      </c>
      <c r="B552" s="15">
        <v>1</v>
      </c>
      <c r="C552" s="16" t="e">
        <f>IF([2]!Artículos4[[#This Row],[Proveedor (código)]]="","",VLOOKUP([2]!Artículos4[[#This Row],[Proveedor (código)]],[2]Proveedores!A:B,2,FALSE))</f>
        <v>#REF!</v>
      </c>
      <c r="D552" s="29" t="s">
        <v>566</v>
      </c>
      <c r="E552" s="29" t="s">
        <v>558</v>
      </c>
      <c r="F552" s="51"/>
      <c r="G552" s="14"/>
      <c r="H552" s="14"/>
      <c r="I552" s="14"/>
      <c r="J552" s="16">
        <f>SUMIFS(Entradas!G:G,Entradas!E:E,Artículos[[#This Row],[Código]])</f>
        <v>0</v>
      </c>
      <c r="K552" s="16">
        <f>SUMIFS(Salidas!G:G,Salidas!E:E,Artículos[[#This Row],[Código]])</f>
        <v>0</v>
      </c>
      <c r="L552" s="16">
        <f>Artículos[[#This Row],[Existencias iniciales]]+Artículos[[#This Row],[Entradas]]-Artículos[[#This Row],[Salidas]]</f>
        <v>0</v>
      </c>
      <c r="M552" s="16" t="s">
        <v>88</v>
      </c>
      <c r="N552" s="16"/>
    </row>
    <row r="553" spans="1:14" ht="14.4" hidden="1" customHeight="1" x14ac:dyDescent="0.3">
      <c r="A553" s="29" t="s">
        <v>1311</v>
      </c>
      <c r="B553" s="15">
        <v>1</v>
      </c>
      <c r="C553" s="16" t="e">
        <f>IF([2]!Artículos4[[#This Row],[Proveedor (código)]]="","",VLOOKUP([2]!Artículos4[[#This Row],[Proveedor (código)]],[2]Proveedores!A:B,2,FALSE))</f>
        <v>#REF!</v>
      </c>
      <c r="D553" s="29" t="s">
        <v>567</v>
      </c>
      <c r="E553" s="29" t="s">
        <v>558</v>
      </c>
      <c r="F553" s="51"/>
      <c r="G553" s="14"/>
      <c r="H553" s="14"/>
      <c r="I553" s="14">
        <v>6</v>
      </c>
      <c r="J553" s="16">
        <f>SUMIFS(Entradas!G:G,Entradas!E:E,Artículos[[#This Row],[Código]])</f>
        <v>0</v>
      </c>
      <c r="K553" s="16">
        <f>SUMIFS(Salidas!G:G,Salidas!E:E,Artículos[[#This Row],[Código]])</f>
        <v>0</v>
      </c>
      <c r="L553" s="16">
        <f>Artículos[[#This Row],[Existencias iniciales]]+Artículos[[#This Row],[Entradas]]-Artículos[[#This Row],[Salidas]]</f>
        <v>6</v>
      </c>
      <c r="M553" s="16" t="s">
        <v>88</v>
      </c>
      <c r="N553" s="16"/>
    </row>
    <row r="554" spans="1:14" ht="14.4" hidden="1" customHeight="1" x14ac:dyDescent="0.3">
      <c r="A554" s="29" t="s">
        <v>1312</v>
      </c>
      <c r="B554" s="15">
        <v>1</v>
      </c>
      <c r="C554" s="16" t="e">
        <f>IF([2]!Artículos4[[#This Row],[Proveedor (código)]]="","",VLOOKUP([2]!Artículos4[[#This Row],[Proveedor (código)]],[2]Proveedores!A:B,2,FALSE))</f>
        <v>#REF!</v>
      </c>
      <c r="D554" s="29" t="s">
        <v>568</v>
      </c>
      <c r="E554" s="29" t="s">
        <v>558</v>
      </c>
      <c r="F554" s="51"/>
      <c r="G554" s="14"/>
      <c r="H554" s="14"/>
      <c r="I554" s="14"/>
      <c r="J554" s="16">
        <f>SUMIFS(Entradas!G:G,Entradas!E:E,Artículos[[#This Row],[Código]])</f>
        <v>0</v>
      </c>
      <c r="K554" s="16">
        <f>SUMIFS(Salidas!G:G,Salidas!E:E,Artículos[[#This Row],[Código]])</f>
        <v>0</v>
      </c>
      <c r="L554" s="16">
        <f>Artículos[[#This Row],[Existencias iniciales]]+Artículos[[#This Row],[Entradas]]-Artículos[[#This Row],[Salidas]]</f>
        <v>0</v>
      </c>
      <c r="M554" s="16" t="s">
        <v>88</v>
      </c>
      <c r="N554" s="16"/>
    </row>
    <row r="555" spans="1:14" ht="14.4" hidden="1" customHeight="1" x14ac:dyDescent="0.3">
      <c r="A555" s="29" t="s">
        <v>1313</v>
      </c>
      <c r="B555" s="15"/>
      <c r="C555" s="16" t="e">
        <f>IF([2]!Artículos4[[#This Row],[Proveedor (código)]]="","",VLOOKUP([2]!Artículos4[[#This Row],[Proveedor (código)]],[2]Proveedores!A:B,2,FALSE))</f>
        <v>#REF!</v>
      </c>
      <c r="D555" s="29" t="s">
        <v>569</v>
      </c>
      <c r="E555" s="29" t="s">
        <v>558</v>
      </c>
      <c r="F555" s="51"/>
      <c r="G555" s="14"/>
      <c r="H555" s="14"/>
      <c r="I555" s="14"/>
      <c r="J555" s="16">
        <f>SUMIFS(Entradas!G:G,Entradas!E:E,Artículos[[#This Row],[Código]])</f>
        <v>0</v>
      </c>
      <c r="K555" s="16">
        <f>SUMIFS(Salidas!G:G,Salidas!E:E,Artículos[[#This Row],[Código]])</f>
        <v>0</v>
      </c>
      <c r="L555" s="16">
        <f>Artículos[[#This Row],[Existencias iniciales]]+Artículos[[#This Row],[Entradas]]-Artículos[[#This Row],[Salidas]]</f>
        <v>0</v>
      </c>
      <c r="M555" s="16" t="s">
        <v>65</v>
      </c>
      <c r="N555" s="16"/>
    </row>
    <row r="556" spans="1:14" ht="14.4" hidden="1" customHeight="1" x14ac:dyDescent="0.3">
      <c r="A556" s="29" t="s">
        <v>1314</v>
      </c>
      <c r="B556" s="15">
        <v>1</v>
      </c>
      <c r="C556" s="16" t="e">
        <f>IF([2]!Artículos4[[#This Row],[Proveedor (código)]]="","",VLOOKUP([2]!Artículos4[[#This Row],[Proveedor (código)]],[2]Proveedores!A:B,2,FALSE))</f>
        <v>#REF!</v>
      </c>
      <c r="D556" s="29" t="s">
        <v>570</v>
      </c>
      <c r="E556" s="29" t="s">
        <v>558</v>
      </c>
      <c r="F556" s="51"/>
      <c r="G556" s="14"/>
      <c r="H556" s="14"/>
      <c r="I556" s="14"/>
      <c r="J556" s="16">
        <f>SUMIFS(Entradas!G:G,Entradas!E:E,Artículos[[#This Row],[Código]])</f>
        <v>0</v>
      </c>
      <c r="K556" s="16">
        <f>SUMIFS(Salidas!G:G,Salidas!E:E,Artículos[[#This Row],[Código]])</f>
        <v>0</v>
      </c>
      <c r="L556" s="16">
        <f>Artículos[[#This Row],[Existencias iniciales]]+Artículos[[#This Row],[Entradas]]-Artículos[[#This Row],[Salidas]]</f>
        <v>0</v>
      </c>
      <c r="M556" s="16" t="s">
        <v>66</v>
      </c>
      <c r="N556" s="16"/>
    </row>
    <row r="557" spans="1:14" ht="14.4" hidden="1" customHeight="1" x14ac:dyDescent="0.3">
      <c r="A557" s="29" t="s">
        <v>1315</v>
      </c>
      <c r="B557" s="15"/>
      <c r="C557" s="16" t="e">
        <f>IF([2]!Artículos4[[#This Row],[Proveedor (código)]]="","",VLOOKUP([2]!Artículos4[[#This Row],[Proveedor (código)]],[2]Proveedores!A:B,2,FALSE))</f>
        <v>#REF!</v>
      </c>
      <c r="D557" s="29" t="s">
        <v>571</v>
      </c>
      <c r="E557" s="29" t="s">
        <v>558</v>
      </c>
      <c r="F557" s="51"/>
      <c r="G557" s="14"/>
      <c r="H557" s="14"/>
      <c r="I557" s="14"/>
      <c r="J557" s="16">
        <f>SUMIFS(Entradas!G:G,Entradas!E:E,Artículos[[#This Row],[Código]])</f>
        <v>0</v>
      </c>
      <c r="K557" s="16">
        <f>SUMIFS(Salidas!G:G,Salidas!E:E,Artículos[[#This Row],[Código]])</f>
        <v>0</v>
      </c>
      <c r="L557" s="16">
        <f>Artículos[[#This Row],[Existencias iniciales]]+Artículos[[#This Row],[Entradas]]-Artículos[[#This Row],[Salidas]]</f>
        <v>0</v>
      </c>
      <c r="M557" s="16" t="s">
        <v>67</v>
      </c>
      <c r="N557" s="16"/>
    </row>
    <row r="558" spans="1:14" ht="14.4" hidden="1" customHeight="1" x14ac:dyDescent="0.3">
      <c r="A558" s="29" t="s">
        <v>1316</v>
      </c>
      <c r="B558" s="15"/>
      <c r="C558" s="16" t="e">
        <f>IF([2]!Artículos4[[#This Row],[Proveedor (código)]]="","",VLOOKUP([2]!Artículos4[[#This Row],[Proveedor (código)]],[2]Proveedores!A:B,2,FALSE))</f>
        <v>#REF!</v>
      </c>
      <c r="D558" s="29" t="s">
        <v>572</v>
      </c>
      <c r="E558" s="29" t="s">
        <v>558</v>
      </c>
      <c r="F558" s="51"/>
      <c r="G558" s="14"/>
      <c r="H558" s="14"/>
      <c r="I558" s="14">
        <v>4</v>
      </c>
      <c r="J558" s="16">
        <f>SUMIFS(Entradas!G:G,Entradas!E:E,Artículos[[#This Row],[Código]])</f>
        <v>0</v>
      </c>
      <c r="K558" s="16">
        <f>SUMIFS(Salidas!G:G,Salidas!E:E,Artículos[[#This Row],[Código]])</f>
        <v>1</v>
      </c>
      <c r="L558" s="16">
        <f>Artículos[[#This Row],[Existencias iniciales]]+Artículos[[#This Row],[Entradas]]-Artículos[[#This Row],[Salidas]]</f>
        <v>3</v>
      </c>
      <c r="M558" s="16" t="s">
        <v>67</v>
      </c>
      <c r="N558" s="16"/>
    </row>
    <row r="559" spans="1:14" ht="14.4" hidden="1" customHeight="1" x14ac:dyDescent="0.3">
      <c r="A559" s="29" t="s">
        <v>1317</v>
      </c>
      <c r="B559" s="15"/>
      <c r="C559" s="16" t="e">
        <f>IF([2]!Artículos4[[#This Row],[Proveedor (código)]]="","",VLOOKUP([2]!Artículos4[[#This Row],[Proveedor (código)]],[2]Proveedores!A:B,2,FALSE))</f>
        <v>#REF!</v>
      </c>
      <c r="D559" s="29" t="s">
        <v>573</v>
      </c>
      <c r="E559" s="29" t="s">
        <v>558</v>
      </c>
      <c r="F559" s="51"/>
      <c r="G559" s="14"/>
      <c r="H559" s="14"/>
      <c r="I559" s="14"/>
      <c r="J559" s="16">
        <f>SUMIFS(Entradas!G:G,Entradas!E:E,Artículos[[#This Row],[Código]])</f>
        <v>0</v>
      </c>
      <c r="K559" s="16">
        <f>SUMIFS(Salidas!G:G,Salidas!E:E,Artículos[[#This Row],[Código]])</f>
        <v>0</v>
      </c>
      <c r="L559" s="16">
        <f>Artículos[[#This Row],[Existencias iniciales]]+Artículos[[#This Row],[Entradas]]-Artículos[[#This Row],[Salidas]]</f>
        <v>0</v>
      </c>
      <c r="M559" s="16" t="s">
        <v>67</v>
      </c>
      <c r="N559" s="16"/>
    </row>
    <row r="560" spans="1:14" ht="14.4" hidden="1" customHeight="1" x14ac:dyDescent="0.3">
      <c r="A560" s="29" t="s">
        <v>1318</v>
      </c>
      <c r="B560" s="15">
        <v>1</v>
      </c>
      <c r="C560" s="16" t="e">
        <f>IF([2]!Artículos4[[#This Row],[Proveedor (código)]]="","",VLOOKUP([2]!Artículos4[[#This Row],[Proveedor (código)]],[2]Proveedores!A:B,2,FALSE))</f>
        <v>#REF!</v>
      </c>
      <c r="D560" s="29" t="s">
        <v>574</v>
      </c>
      <c r="E560" s="29" t="s">
        <v>558</v>
      </c>
      <c r="F560" s="51"/>
      <c r="G560" s="14"/>
      <c r="H560" s="14"/>
      <c r="I560" s="14"/>
      <c r="J560" s="16">
        <f>SUMIFS(Entradas!G:G,Entradas!E:E,Artículos[[#This Row],[Código]])</f>
        <v>0</v>
      </c>
      <c r="K560" s="16">
        <f>SUMIFS(Salidas!G:G,Salidas!E:E,Artículos[[#This Row],[Código]])</f>
        <v>0</v>
      </c>
      <c r="L560" s="16">
        <f>Artículos[[#This Row],[Existencias iniciales]]+Artículos[[#This Row],[Entradas]]-Artículos[[#This Row],[Salidas]]</f>
        <v>0</v>
      </c>
      <c r="M560" s="16" t="s">
        <v>67</v>
      </c>
      <c r="N560" s="16"/>
    </row>
    <row r="561" spans="1:14" ht="14.4" hidden="1" customHeight="1" x14ac:dyDescent="0.3">
      <c r="A561" s="29" t="s">
        <v>1319</v>
      </c>
      <c r="B561" s="15">
        <v>1</v>
      </c>
      <c r="C561" s="16" t="e">
        <f>IF([2]!Artículos4[[#This Row],[Proveedor (código)]]="","",VLOOKUP([2]!Artículos4[[#This Row],[Proveedor (código)]],[2]Proveedores!A:B,2,FALSE))</f>
        <v>#REF!</v>
      </c>
      <c r="D561" s="29" t="s">
        <v>575</v>
      </c>
      <c r="E561" s="29" t="s">
        <v>558</v>
      </c>
      <c r="F561" s="51"/>
      <c r="G561" s="14"/>
      <c r="H561" s="14"/>
      <c r="I561" s="14">
        <v>2</v>
      </c>
      <c r="J561" s="16">
        <f>SUMIFS(Entradas!G:G,Entradas!E:E,Artículos[[#This Row],[Código]])</f>
        <v>5.15</v>
      </c>
      <c r="K561" s="16">
        <f>SUMIFS(Salidas!G:G,Salidas!E:E,Artículos[[#This Row],[Código]])</f>
        <v>0</v>
      </c>
      <c r="L561" s="16">
        <f>Artículos[[#This Row],[Existencias iniciales]]+Artículos[[#This Row],[Entradas]]-Artículos[[#This Row],[Salidas]]</f>
        <v>7.15</v>
      </c>
      <c r="M561" s="16" t="s">
        <v>67</v>
      </c>
      <c r="N561" s="16"/>
    </row>
    <row r="562" spans="1:14" ht="14.4" hidden="1" customHeight="1" x14ac:dyDescent="0.3">
      <c r="A562" s="29" t="s">
        <v>1320</v>
      </c>
      <c r="B562" s="15"/>
      <c r="C562" s="16" t="e">
        <f>IF([2]!Artículos4[[#This Row],[Proveedor (código)]]="","",VLOOKUP([2]!Artículos4[[#This Row],[Proveedor (código)]],[2]Proveedores!A:B,2,FALSE))</f>
        <v>#REF!</v>
      </c>
      <c r="D562" s="29" t="s">
        <v>576</v>
      </c>
      <c r="E562" s="29" t="s">
        <v>558</v>
      </c>
      <c r="F562" s="51"/>
      <c r="G562" s="14"/>
      <c r="H562" s="14"/>
      <c r="I562" s="14"/>
      <c r="J562" s="16">
        <f>SUMIFS(Entradas!G:G,Entradas!E:E,Artículos[[#This Row],[Código]])</f>
        <v>0</v>
      </c>
      <c r="K562" s="16">
        <f>SUMIFS(Salidas!G:G,Salidas!E:E,Artículos[[#This Row],[Código]])</f>
        <v>0</v>
      </c>
      <c r="L562" s="16">
        <f>Artículos[[#This Row],[Existencias iniciales]]+Artículos[[#This Row],[Entradas]]-Artículos[[#This Row],[Salidas]]</f>
        <v>0</v>
      </c>
      <c r="M562" s="16" t="s">
        <v>67</v>
      </c>
      <c r="N562" s="16"/>
    </row>
    <row r="563" spans="1:14" ht="14.4" hidden="1" customHeight="1" x14ac:dyDescent="0.3">
      <c r="A563" s="29" t="s">
        <v>1321</v>
      </c>
      <c r="B563" s="15"/>
      <c r="C563" s="16" t="e">
        <f>IF([2]!Artículos4[[#This Row],[Proveedor (código)]]="","",VLOOKUP([2]!Artículos4[[#This Row],[Proveedor (código)]],[2]Proveedores!A:B,2,FALSE))</f>
        <v>#REF!</v>
      </c>
      <c r="D563" s="29" t="s">
        <v>577</v>
      </c>
      <c r="E563" s="29" t="s">
        <v>558</v>
      </c>
      <c r="F563" s="51"/>
      <c r="G563" s="14"/>
      <c r="H563" s="14"/>
      <c r="I563" s="14"/>
      <c r="J563" s="16">
        <f>SUMIFS(Entradas!G:G,Entradas!E:E,Artículos[[#This Row],[Código]])</f>
        <v>0</v>
      </c>
      <c r="K563" s="16">
        <f>SUMIFS(Salidas!G:G,Salidas!E:E,Artículos[[#This Row],[Código]])</f>
        <v>0</v>
      </c>
      <c r="L563" s="16">
        <f>Artículos[[#This Row],[Existencias iniciales]]+Artículos[[#This Row],[Entradas]]-Artículos[[#This Row],[Salidas]]</f>
        <v>0</v>
      </c>
      <c r="M563" s="16" t="s">
        <v>68</v>
      </c>
      <c r="N563" s="16"/>
    </row>
    <row r="564" spans="1:14" ht="14.4" hidden="1" customHeight="1" x14ac:dyDescent="0.3">
      <c r="A564" s="29" t="s">
        <v>1322</v>
      </c>
      <c r="B564" s="15"/>
      <c r="C564" s="16" t="e">
        <f>IF([2]!Artículos4[[#This Row],[Proveedor (código)]]="","",VLOOKUP([2]!Artículos4[[#This Row],[Proveedor (código)]],[2]Proveedores!A:B,2,FALSE))</f>
        <v>#REF!</v>
      </c>
      <c r="D564" s="29" t="s">
        <v>578</v>
      </c>
      <c r="E564" s="29" t="s">
        <v>558</v>
      </c>
      <c r="F564" s="51"/>
      <c r="G564" s="14"/>
      <c r="H564" s="14"/>
      <c r="I564" s="14"/>
      <c r="J564" s="16">
        <f>SUMIFS(Entradas!G:G,Entradas!E:E,Artículos[[#This Row],[Código]])</f>
        <v>0</v>
      </c>
      <c r="K564" s="16">
        <f>SUMIFS(Salidas!G:G,Salidas!E:E,Artículos[[#This Row],[Código]])</f>
        <v>0</v>
      </c>
      <c r="L564" s="16">
        <f>Artículos[[#This Row],[Existencias iniciales]]+Artículos[[#This Row],[Entradas]]-Artículos[[#This Row],[Salidas]]</f>
        <v>0</v>
      </c>
      <c r="M564" s="16" t="s">
        <v>69</v>
      </c>
      <c r="N564" s="16"/>
    </row>
    <row r="565" spans="1:14" ht="14.4" hidden="1" customHeight="1" x14ac:dyDescent="0.3">
      <c r="A565" s="29" t="s">
        <v>1323</v>
      </c>
      <c r="B565" s="15">
        <v>1</v>
      </c>
      <c r="C565" s="16" t="e">
        <f>IF([2]!Artículos4[[#This Row],[Proveedor (código)]]="","",VLOOKUP([2]!Artículos4[[#This Row],[Proveedor (código)]],[2]Proveedores!A:B,2,FALSE))</f>
        <v>#REF!</v>
      </c>
      <c r="D565" s="29" t="s">
        <v>579</v>
      </c>
      <c r="E565" s="29" t="s">
        <v>558</v>
      </c>
      <c r="F565" s="51"/>
      <c r="G565" s="14"/>
      <c r="H565" s="14"/>
      <c r="I565" s="14"/>
      <c r="J565" s="16">
        <f>SUMIFS(Entradas!G:G,Entradas!E:E,Artículos[[#This Row],[Código]])</f>
        <v>0</v>
      </c>
      <c r="K565" s="16">
        <f>SUMIFS(Salidas!G:G,Salidas!E:E,Artículos[[#This Row],[Código]])</f>
        <v>0</v>
      </c>
      <c r="L565" s="16">
        <f>Artículos[[#This Row],[Existencias iniciales]]+Artículos[[#This Row],[Entradas]]-Artículos[[#This Row],[Salidas]]</f>
        <v>0</v>
      </c>
      <c r="M565" s="16" t="s">
        <v>69</v>
      </c>
      <c r="N565" s="16"/>
    </row>
    <row r="566" spans="1:14" ht="14.4" hidden="1" customHeight="1" x14ac:dyDescent="0.3">
      <c r="A566" s="29" t="s">
        <v>1324</v>
      </c>
      <c r="B566" s="15">
        <v>1</v>
      </c>
      <c r="C566" s="16" t="e">
        <f>IF([2]!Artículos4[[#This Row],[Proveedor (código)]]="","",VLOOKUP([2]!Artículos4[[#This Row],[Proveedor (código)]],[2]Proveedores!A:B,2,FALSE))</f>
        <v>#REF!</v>
      </c>
      <c r="D566" s="29" t="s">
        <v>1394</v>
      </c>
      <c r="E566" s="29" t="s">
        <v>558</v>
      </c>
      <c r="F566" s="51"/>
      <c r="G566" s="14"/>
      <c r="H566" s="14"/>
      <c r="I566" s="14"/>
      <c r="J566" s="16">
        <f>SUMIFS(Entradas!G:G,Entradas!E:E,Artículos[[#This Row],[Código]])</f>
        <v>1.62</v>
      </c>
      <c r="K566" s="16">
        <f>SUMIFS(Salidas!G:G,Salidas!E:E,Artículos[[#This Row],[Código]])</f>
        <v>0</v>
      </c>
      <c r="L566" s="16">
        <f>Artículos[[#This Row],[Existencias iniciales]]+Artículos[[#This Row],[Entradas]]-Artículos[[#This Row],[Salidas]]</f>
        <v>1.62</v>
      </c>
      <c r="M566" s="16" t="s">
        <v>69</v>
      </c>
      <c r="N566" s="16"/>
    </row>
    <row r="567" spans="1:14" ht="14.4" hidden="1" customHeight="1" x14ac:dyDescent="0.3">
      <c r="A567" s="29" t="s">
        <v>1325</v>
      </c>
      <c r="B567" s="15">
        <v>1</v>
      </c>
      <c r="C567" s="16" t="e">
        <f>IF([2]!Artículos4[[#This Row],[Proveedor (código)]]="","",VLOOKUP([2]!Artículos4[[#This Row],[Proveedor (código)]],[2]Proveedores!A:B,2,FALSE))</f>
        <v>#REF!</v>
      </c>
      <c r="D567" s="29" t="s">
        <v>580</v>
      </c>
      <c r="E567" s="29" t="s">
        <v>558</v>
      </c>
      <c r="F567" s="51"/>
      <c r="G567" s="14"/>
      <c r="H567" s="14"/>
      <c r="I567" s="14"/>
      <c r="J567" s="16">
        <f>SUMIFS(Entradas!G:G,Entradas!E:E,Artículos[[#This Row],[Código]])</f>
        <v>0</v>
      </c>
      <c r="K567" s="16">
        <f>SUMIFS(Salidas!G:G,Salidas!E:E,Artículos[[#This Row],[Código]])</f>
        <v>8</v>
      </c>
      <c r="L567" s="16">
        <f>Artículos[[#This Row],[Existencias iniciales]]+Artículos[[#This Row],[Entradas]]-Artículos[[#This Row],[Salidas]]</f>
        <v>-8</v>
      </c>
      <c r="M567" s="16" t="s">
        <v>69</v>
      </c>
      <c r="N567" s="16"/>
    </row>
    <row r="568" spans="1:14" ht="14.4" hidden="1" customHeight="1" x14ac:dyDescent="0.3">
      <c r="A568" s="29" t="s">
        <v>1326</v>
      </c>
      <c r="B568" s="15">
        <v>1</v>
      </c>
      <c r="C568" s="16" t="e">
        <f>IF([2]!Artículos4[[#This Row],[Proveedor (código)]]="","",VLOOKUP([2]!Artículos4[[#This Row],[Proveedor (código)]],[2]Proveedores!A:B,2,FALSE))</f>
        <v>#REF!</v>
      </c>
      <c r="D568" s="29" t="s">
        <v>581</v>
      </c>
      <c r="E568" s="29" t="s">
        <v>558</v>
      </c>
      <c r="F568" s="51"/>
      <c r="G568" s="14"/>
      <c r="H568" s="14"/>
      <c r="I568" s="14"/>
      <c r="J568" s="16">
        <f>SUMIFS(Entradas!G:G,Entradas!E:E,Artículos[[#This Row],[Código]])</f>
        <v>0</v>
      </c>
      <c r="K568" s="16">
        <f>SUMIFS(Salidas!G:G,Salidas!E:E,Artículos[[#This Row],[Código]])</f>
        <v>0</v>
      </c>
      <c r="L568" s="16">
        <f>Artículos[[#This Row],[Existencias iniciales]]+Artículos[[#This Row],[Entradas]]-Artículos[[#This Row],[Salidas]]</f>
        <v>0</v>
      </c>
      <c r="M568" s="16" t="s">
        <v>69</v>
      </c>
      <c r="N568" s="16"/>
    </row>
    <row r="569" spans="1:14" ht="14.4" hidden="1" customHeight="1" x14ac:dyDescent="0.3">
      <c r="A569" s="29" t="s">
        <v>1327</v>
      </c>
      <c r="B569" s="15">
        <v>1</v>
      </c>
      <c r="C569" s="16" t="e">
        <f>IF([2]!Artículos4[[#This Row],[Proveedor (código)]]="","",VLOOKUP([2]!Artículos4[[#This Row],[Proveedor (código)]],[2]Proveedores!A:B,2,FALSE))</f>
        <v>#REF!</v>
      </c>
      <c r="D569" s="29" t="s">
        <v>582</v>
      </c>
      <c r="E569" s="29" t="s">
        <v>558</v>
      </c>
      <c r="F569" s="51"/>
      <c r="G569" s="14"/>
      <c r="H569" s="14"/>
      <c r="I569" s="14">
        <v>6</v>
      </c>
      <c r="J569" s="16">
        <f>SUMIFS(Entradas!G:G,Entradas!E:E,Artículos[[#This Row],[Código]])</f>
        <v>0</v>
      </c>
      <c r="K569" s="16">
        <f>SUMIFS(Salidas!G:G,Salidas!E:E,Artículos[[#This Row],[Código]])</f>
        <v>0</v>
      </c>
      <c r="L569" s="16">
        <f>Artículos[[#This Row],[Existencias iniciales]]+Artículos[[#This Row],[Entradas]]-Artículos[[#This Row],[Salidas]]</f>
        <v>6</v>
      </c>
      <c r="M569" s="16" t="s">
        <v>69</v>
      </c>
      <c r="N569" s="16"/>
    </row>
    <row r="570" spans="1:14" ht="14.4" hidden="1" customHeight="1" x14ac:dyDescent="0.3">
      <c r="A570" s="29" t="s">
        <v>1328</v>
      </c>
      <c r="B570" s="15"/>
      <c r="C570" s="16" t="e">
        <f>IF([2]!Artículos4[[#This Row],[Proveedor (código)]]="","",VLOOKUP([2]!Artículos4[[#This Row],[Proveedor (código)]],[2]Proveedores!A:B,2,FALSE))</f>
        <v>#REF!</v>
      </c>
      <c r="D570" s="29" t="s">
        <v>583</v>
      </c>
      <c r="E570" s="29" t="s">
        <v>558</v>
      </c>
      <c r="F570" s="51"/>
      <c r="G570" s="14"/>
      <c r="H570" s="14"/>
      <c r="I570" s="14"/>
      <c r="J570" s="16">
        <f>SUMIFS(Entradas!G:G,Entradas!E:E,Artículos[[#This Row],[Código]])</f>
        <v>0</v>
      </c>
      <c r="K570" s="16">
        <f>SUMIFS(Salidas!G:G,Salidas!E:E,Artículos[[#This Row],[Código]])</f>
        <v>0</v>
      </c>
      <c r="L570" s="16">
        <f>Artículos[[#This Row],[Existencias iniciales]]+Artículos[[#This Row],[Entradas]]-Artículos[[#This Row],[Salidas]]</f>
        <v>0</v>
      </c>
      <c r="M570" s="16" t="s">
        <v>69</v>
      </c>
      <c r="N570" s="16"/>
    </row>
    <row r="571" spans="1:14" ht="14.4" hidden="1" customHeight="1" x14ac:dyDescent="0.3">
      <c r="A571" s="29" t="s">
        <v>1329</v>
      </c>
      <c r="B571" s="15"/>
      <c r="C571" s="16" t="e">
        <f>IF([2]!Artículos4[[#This Row],[Proveedor (código)]]="","",VLOOKUP([2]!Artículos4[[#This Row],[Proveedor (código)]],[2]Proveedores!A:B,2,FALSE))</f>
        <v>#REF!</v>
      </c>
      <c r="D571" s="29" t="s">
        <v>584</v>
      </c>
      <c r="E571" s="29" t="s">
        <v>558</v>
      </c>
      <c r="F571" s="51"/>
      <c r="G571" s="14"/>
      <c r="H571" s="14"/>
      <c r="I571" s="14"/>
      <c r="J571" s="16">
        <f>SUMIFS(Entradas!G:G,Entradas!E:E,Artículos[[#This Row],[Código]])</f>
        <v>0</v>
      </c>
      <c r="K571" s="16">
        <f>SUMIFS(Salidas!G:G,Salidas!E:E,Artículos[[#This Row],[Código]])</f>
        <v>0</v>
      </c>
      <c r="L571" s="16">
        <f>Artículos[[#This Row],[Existencias iniciales]]+Artículos[[#This Row],[Entradas]]-Artículos[[#This Row],[Salidas]]</f>
        <v>0</v>
      </c>
      <c r="M571" s="16" t="s">
        <v>69</v>
      </c>
      <c r="N571" s="16"/>
    </row>
    <row r="572" spans="1:14" ht="14.4" hidden="1" customHeight="1" x14ac:dyDescent="0.3">
      <c r="A572" s="29" t="s">
        <v>1330</v>
      </c>
      <c r="B572" s="15">
        <v>1</v>
      </c>
      <c r="C572" s="16" t="e">
        <f>IF([2]!Artículos4[[#This Row],[Proveedor (código)]]="","",VLOOKUP([2]!Artículos4[[#This Row],[Proveedor (código)]],[2]Proveedores!A:B,2,FALSE))</f>
        <v>#REF!</v>
      </c>
      <c r="D572" s="29" t="s">
        <v>1385</v>
      </c>
      <c r="E572" s="29" t="s">
        <v>558</v>
      </c>
      <c r="F572" s="51"/>
      <c r="G572" s="14"/>
      <c r="H572" s="14"/>
      <c r="I572" s="14"/>
      <c r="J572" s="16">
        <f>SUMIFS(Entradas!G:G,Entradas!E:E,Artículos[[#This Row],[Código]])</f>
        <v>0.71</v>
      </c>
      <c r="K572" s="16">
        <f>SUMIFS(Salidas!G:G,Salidas!E:E,Artículos[[#This Row],[Código]])</f>
        <v>1</v>
      </c>
      <c r="L572" s="16">
        <f>Artículos[[#This Row],[Existencias iniciales]]+Artículos[[#This Row],[Entradas]]-Artículos[[#This Row],[Salidas]]</f>
        <v>-0.29000000000000004</v>
      </c>
      <c r="M572" s="16" t="s">
        <v>90</v>
      </c>
      <c r="N572" s="16"/>
    </row>
    <row r="573" spans="1:14" ht="14.4" hidden="1" customHeight="1" x14ac:dyDescent="0.3">
      <c r="A573" s="29" t="s">
        <v>1331</v>
      </c>
      <c r="B573" s="15">
        <v>1</v>
      </c>
      <c r="C573" s="16" t="e">
        <f>IF([2]!Artículos4[[#This Row],[Proveedor (código)]]="","",VLOOKUP([2]!Artículos4[[#This Row],[Proveedor (código)]],[2]Proveedores!A:B,2,FALSE))</f>
        <v>#REF!</v>
      </c>
      <c r="D573" s="29"/>
      <c r="E573" s="29" t="s">
        <v>558</v>
      </c>
      <c r="F573" s="51"/>
      <c r="G573" s="14"/>
      <c r="H573" s="14"/>
      <c r="I573" s="14"/>
      <c r="J573" s="16">
        <f>SUMIFS(Entradas!G:G,Entradas!E:E,Artículos[[#This Row],[Código]])</f>
        <v>0</v>
      </c>
      <c r="K573" s="16">
        <f>SUMIFS(Salidas!G:G,Salidas!E:E,Artículos[[#This Row],[Código]])</f>
        <v>0</v>
      </c>
      <c r="L573" s="16">
        <f>Artículos[[#This Row],[Existencias iniciales]]+Artículos[[#This Row],[Entradas]]-Artículos[[#This Row],[Salidas]]</f>
        <v>0</v>
      </c>
      <c r="M573" s="16" t="s">
        <v>57</v>
      </c>
      <c r="N573" s="16"/>
    </row>
    <row r="574" spans="1:14" ht="14.4" hidden="1" customHeight="1" x14ac:dyDescent="0.3">
      <c r="A574" s="29" t="s">
        <v>1332</v>
      </c>
      <c r="B574" s="15">
        <v>1</v>
      </c>
      <c r="C574" s="16" t="e">
        <f>IF([2]!Artículos4[[#This Row],[Proveedor (código)]]="","",VLOOKUP([2]!Artículos4[[#This Row],[Proveedor (código)]],[2]Proveedores!A:B,2,FALSE))</f>
        <v>#REF!</v>
      </c>
      <c r="D574" s="29"/>
      <c r="E574" s="29" t="s">
        <v>558</v>
      </c>
      <c r="F574" s="51"/>
      <c r="G574" s="14"/>
      <c r="H574" s="14"/>
      <c r="I574" s="14"/>
      <c r="J574" s="16">
        <f>SUMIFS(Entradas!G:G,Entradas!E:E,Artículos[[#This Row],[Código]])</f>
        <v>0</v>
      </c>
      <c r="K574" s="16">
        <f>SUMIFS(Salidas!G:G,Salidas!E:E,Artículos[[#This Row],[Código]])</f>
        <v>0</v>
      </c>
      <c r="L574" s="16">
        <f>Artículos[[#This Row],[Existencias iniciales]]+Artículos[[#This Row],[Entradas]]-Artículos[[#This Row],[Salidas]]</f>
        <v>0</v>
      </c>
      <c r="M574" s="16" t="s">
        <v>69</v>
      </c>
      <c r="N574" s="16"/>
    </row>
    <row r="575" spans="1:14" ht="14.4" hidden="1" customHeight="1" x14ac:dyDescent="0.3">
      <c r="A575" s="29" t="s">
        <v>1062</v>
      </c>
      <c r="B575" s="15">
        <v>1</v>
      </c>
      <c r="C575" s="16" t="e">
        <f>IF([2]!Artículos4[[#This Row],[Proveedor (código)]]="","",VLOOKUP([2]!Artículos4[[#This Row],[Proveedor (código)]],[2]Proveedores!A:B,2,FALSE))</f>
        <v>#REF!</v>
      </c>
      <c r="D575" s="29" t="s">
        <v>585</v>
      </c>
      <c r="E575" s="29" t="s">
        <v>586</v>
      </c>
      <c r="F575" s="51"/>
      <c r="G575" s="14"/>
      <c r="H575" s="14"/>
      <c r="I575" s="14"/>
      <c r="J575" s="16">
        <f>SUMIFS(Entradas!G:G,Entradas!E:E,Artículos[[#This Row],[Código]])</f>
        <v>0</v>
      </c>
      <c r="K575" s="16">
        <f>SUMIFS(Salidas!G:G,Salidas!E:E,Artículos[[#This Row],[Código]])</f>
        <v>0</v>
      </c>
      <c r="L575" s="16">
        <f>Artículos[[#This Row],[Existencias iniciales]]+Artículos[[#This Row],[Entradas]]-Artículos[[#This Row],[Salidas]]</f>
        <v>0</v>
      </c>
      <c r="M575" s="16" t="s">
        <v>69</v>
      </c>
      <c r="N575" s="16"/>
    </row>
    <row r="576" spans="1:14" ht="14.4" hidden="1" customHeight="1" x14ac:dyDescent="0.3">
      <c r="A576" s="29" t="s">
        <v>1063</v>
      </c>
      <c r="B576" s="15">
        <v>1</v>
      </c>
      <c r="C576" s="16" t="e">
        <f>IF([2]!Artículos4[[#This Row],[Proveedor (código)]]="","",VLOOKUP([2]!Artículos4[[#This Row],[Proveedor (código)]],[2]Proveedores!A:B,2,FALSE))</f>
        <v>#REF!</v>
      </c>
      <c r="D576" s="29" t="s">
        <v>587</v>
      </c>
      <c r="E576" s="29" t="s">
        <v>586</v>
      </c>
      <c r="F576" s="51"/>
      <c r="G576" s="14"/>
      <c r="H576" s="14"/>
      <c r="I576" s="14"/>
      <c r="J576" s="16">
        <f>SUMIFS(Entradas!G:G,Entradas!E:E,Artículos[[#This Row],[Código]])</f>
        <v>0</v>
      </c>
      <c r="K576" s="16">
        <f>SUMIFS(Salidas!G:G,Salidas!E:E,Artículos[[#This Row],[Código]])</f>
        <v>0</v>
      </c>
      <c r="L576" s="16">
        <f>Artículos[[#This Row],[Existencias iniciales]]+Artículos[[#This Row],[Entradas]]-Artículos[[#This Row],[Salidas]]</f>
        <v>0</v>
      </c>
      <c r="M576" s="16" t="s">
        <v>70</v>
      </c>
      <c r="N576" s="16"/>
    </row>
    <row r="577" spans="1:14" ht="14.4" hidden="1" customHeight="1" x14ac:dyDescent="0.3">
      <c r="A577" s="29" t="s">
        <v>1064</v>
      </c>
      <c r="B577" s="15">
        <v>1</v>
      </c>
      <c r="C577" s="16" t="e">
        <f>IF([2]!Artículos4[[#This Row],[Proveedor (código)]]="","",VLOOKUP([2]!Artículos4[[#This Row],[Proveedor (código)]],[2]Proveedores!A:B,2,FALSE))</f>
        <v>#REF!</v>
      </c>
      <c r="D577" s="29" t="s">
        <v>588</v>
      </c>
      <c r="E577" s="29" t="s">
        <v>586</v>
      </c>
      <c r="F577" s="51"/>
      <c r="G577" s="14"/>
      <c r="H577" s="14"/>
      <c r="I577" s="14"/>
      <c r="J577" s="16">
        <f>SUMIFS(Entradas!G:G,Entradas!E:E,Artículos[[#This Row],[Código]])</f>
        <v>0</v>
      </c>
      <c r="K577" s="16">
        <f>SUMIFS(Salidas!G:G,Salidas!E:E,Artículos[[#This Row],[Código]])</f>
        <v>0</v>
      </c>
      <c r="L577" s="16">
        <f>Artículos[[#This Row],[Existencias iniciales]]+Artículos[[#This Row],[Entradas]]-Artículos[[#This Row],[Salidas]]</f>
        <v>0</v>
      </c>
      <c r="M577" s="16" t="s">
        <v>89</v>
      </c>
      <c r="N577" s="16"/>
    </row>
    <row r="578" spans="1:14" ht="14.4" hidden="1" customHeight="1" x14ac:dyDescent="0.3">
      <c r="A578" s="29" t="s">
        <v>1065</v>
      </c>
      <c r="B578" s="15"/>
      <c r="C578" s="16" t="e">
        <f>IF([2]!Artículos4[[#This Row],[Proveedor (código)]]="","",VLOOKUP([2]!Artículos4[[#This Row],[Proveedor (código)]],[2]Proveedores!A:B,2,FALSE))</f>
        <v>#REF!</v>
      </c>
      <c r="D578" s="29" t="s">
        <v>589</v>
      </c>
      <c r="E578" s="29" t="s">
        <v>586</v>
      </c>
      <c r="F578" s="51"/>
      <c r="G578" s="14"/>
      <c r="H578" s="14"/>
      <c r="I578" s="14"/>
      <c r="J578" s="16">
        <f>SUMIFS(Entradas!G:G,Entradas!E:E,Artículos[[#This Row],[Código]])</f>
        <v>0</v>
      </c>
      <c r="K578" s="16">
        <f>SUMIFS(Salidas!G:G,Salidas!E:E,Artículos[[#This Row],[Código]])</f>
        <v>0</v>
      </c>
      <c r="L578" s="16">
        <f>Artículos[[#This Row],[Existencias iniciales]]+Artículos[[#This Row],[Entradas]]-Artículos[[#This Row],[Salidas]]</f>
        <v>0</v>
      </c>
      <c r="M578" s="16" t="s">
        <v>89</v>
      </c>
      <c r="N578" s="16"/>
    </row>
    <row r="579" spans="1:14" ht="14.4" hidden="1" customHeight="1" x14ac:dyDescent="0.3">
      <c r="A579" s="29" t="s">
        <v>1066</v>
      </c>
      <c r="B579" s="15">
        <v>1</v>
      </c>
      <c r="C579" s="16" t="e">
        <f>IF([2]!Artículos4[[#This Row],[Proveedor (código)]]="","",VLOOKUP([2]!Artículos4[[#This Row],[Proveedor (código)]],[2]Proveedores!A:B,2,FALSE))</f>
        <v>#REF!</v>
      </c>
      <c r="D579" s="29" t="s">
        <v>590</v>
      </c>
      <c r="E579" s="29" t="s">
        <v>586</v>
      </c>
      <c r="F579" s="51"/>
      <c r="G579" s="14"/>
      <c r="H579" s="14"/>
      <c r="I579" s="14"/>
      <c r="J579" s="16">
        <f>SUMIFS(Entradas!G:G,Entradas!E:E,Artículos[[#This Row],[Código]])</f>
        <v>0</v>
      </c>
      <c r="K579" s="16">
        <f>SUMIFS(Salidas!G:G,Salidas!E:E,Artículos[[#This Row],[Código]])</f>
        <v>0</v>
      </c>
      <c r="L579" s="16">
        <f>Artículos[[#This Row],[Existencias iniciales]]+Artículos[[#This Row],[Entradas]]-Artículos[[#This Row],[Salidas]]</f>
        <v>0</v>
      </c>
      <c r="M579" s="16" t="s">
        <v>89</v>
      </c>
      <c r="N579" s="16"/>
    </row>
    <row r="580" spans="1:14" ht="14.4" hidden="1" customHeight="1" x14ac:dyDescent="0.3">
      <c r="A580" s="29" t="s">
        <v>1067</v>
      </c>
      <c r="B580" s="15">
        <v>1</v>
      </c>
      <c r="C580" s="16" t="e">
        <f>IF([2]!Artículos4[[#This Row],[Proveedor (código)]]="","",VLOOKUP([2]!Artículos4[[#This Row],[Proveedor (código)]],[2]Proveedores!A:B,2,FALSE))</f>
        <v>#REF!</v>
      </c>
      <c r="D580" s="29" t="s">
        <v>591</v>
      </c>
      <c r="E580" s="29" t="s">
        <v>586</v>
      </c>
      <c r="F580" s="51"/>
      <c r="G580" s="14"/>
      <c r="H580" s="14"/>
      <c r="I580" s="14"/>
      <c r="J580" s="16">
        <f>SUMIFS(Entradas!G:G,Entradas!E:E,Artículos[[#This Row],[Código]])</f>
        <v>0</v>
      </c>
      <c r="K580" s="16">
        <f>SUMIFS(Salidas!G:G,Salidas!E:E,Artículos[[#This Row],[Código]])</f>
        <v>0</v>
      </c>
      <c r="L580" s="16">
        <f>Artículos[[#This Row],[Existencias iniciales]]+Artículos[[#This Row],[Entradas]]-Artículos[[#This Row],[Salidas]]</f>
        <v>0</v>
      </c>
      <c r="M580" s="16" t="s">
        <v>89</v>
      </c>
      <c r="N580" s="16"/>
    </row>
    <row r="581" spans="1:14" ht="14.4" hidden="1" customHeight="1" x14ac:dyDescent="0.3">
      <c r="A581" s="29" t="s">
        <v>1068</v>
      </c>
      <c r="B581" s="15"/>
      <c r="C581" s="16" t="e">
        <f>IF([2]!Artículos4[[#This Row],[Proveedor (código)]]="","",VLOOKUP([2]!Artículos4[[#This Row],[Proveedor (código)]],[2]Proveedores!A:B,2,FALSE))</f>
        <v>#REF!</v>
      </c>
      <c r="D581" s="29" t="s">
        <v>592</v>
      </c>
      <c r="E581" s="29" t="s">
        <v>586</v>
      </c>
      <c r="F581" s="51"/>
      <c r="G581" s="14"/>
      <c r="H581" s="14"/>
      <c r="I581" s="14"/>
      <c r="J581" s="16">
        <f>SUMIFS(Entradas!G:G,Entradas!E:E,Artículos[[#This Row],[Código]])</f>
        <v>0</v>
      </c>
      <c r="K581" s="16">
        <f>SUMIFS(Salidas!G:G,Salidas!E:E,Artículos[[#This Row],[Código]])</f>
        <v>0</v>
      </c>
      <c r="L581" s="16">
        <f>Artículos[[#This Row],[Existencias iniciales]]+Artículos[[#This Row],[Entradas]]-Artículos[[#This Row],[Salidas]]</f>
        <v>0</v>
      </c>
      <c r="M581" s="16" t="s">
        <v>71</v>
      </c>
      <c r="N581" s="16"/>
    </row>
    <row r="582" spans="1:14" ht="14.4" hidden="1" customHeight="1" x14ac:dyDescent="0.3">
      <c r="A582" s="29" t="s">
        <v>1069</v>
      </c>
      <c r="B582" s="15">
        <v>1</v>
      </c>
      <c r="C582" s="16" t="e">
        <f>IF([2]!Artículos4[[#This Row],[Proveedor (código)]]="","",VLOOKUP([2]!Artículos4[[#This Row],[Proveedor (código)]],[2]Proveedores!A:B,2,FALSE))</f>
        <v>#REF!</v>
      </c>
      <c r="D582" s="29" t="s">
        <v>593</v>
      </c>
      <c r="E582" s="29" t="s">
        <v>586</v>
      </c>
      <c r="F582" s="51"/>
      <c r="G582" s="14"/>
      <c r="H582" s="14"/>
      <c r="I582" s="14"/>
      <c r="J582" s="16">
        <f>SUMIFS(Entradas!G:G,Entradas!E:E,Artículos[[#This Row],[Código]])</f>
        <v>0</v>
      </c>
      <c r="K582" s="16">
        <f>SUMIFS(Salidas!G:G,Salidas!E:E,Artículos[[#This Row],[Código]])</f>
        <v>0</v>
      </c>
      <c r="L582" s="16">
        <f>Artículos[[#This Row],[Existencias iniciales]]+Artículos[[#This Row],[Entradas]]-Artículos[[#This Row],[Salidas]]</f>
        <v>0</v>
      </c>
      <c r="M582" s="16" t="s">
        <v>71</v>
      </c>
      <c r="N582" s="16"/>
    </row>
    <row r="583" spans="1:14" ht="14.4" hidden="1" customHeight="1" x14ac:dyDescent="0.3">
      <c r="A583" s="29" t="s">
        <v>1070</v>
      </c>
      <c r="B583" s="15">
        <v>1</v>
      </c>
      <c r="C583" s="16" t="e">
        <f>IF([2]!Artículos4[[#This Row],[Proveedor (código)]]="","",VLOOKUP([2]!Artículos4[[#This Row],[Proveedor (código)]],[2]Proveedores!A:B,2,FALSE))</f>
        <v>#REF!</v>
      </c>
      <c r="D583" s="29" t="s">
        <v>594</v>
      </c>
      <c r="E583" s="29" t="s">
        <v>586</v>
      </c>
      <c r="F583" s="51"/>
      <c r="G583" s="14"/>
      <c r="H583" s="14"/>
      <c r="I583" s="14"/>
      <c r="J583" s="16">
        <f>SUMIFS(Entradas!G:G,Entradas!E:E,Artículos[[#This Row],[Código]])</f>
        <v>0</v>
      </c>
      <c r="K583" s="16">
        <f>SUMIFS(Salidas!G:G,Salidas!E:E,Artículos[[#This Row],[Código]])</f>
        <v>0</v>
      </c>
      <c r="L583" s="16">
        <f>Artículos[[#This Row],[Existencias iniciales]]+Artículos[[#This Row],[Entradas]]-Artículos[[#This Row],[Salidas]]</f>
        <v>0</v>
      </c>
      <c r="M583" s="16" t="s">
        <v>44</v>
      </c>
      <c r="N583" s="16"/>
    </row>
    <row r="584" spans="1:14" ht="14.4" hidden="1" customHeight="1" x14ac:dyDescent="0.3">
      <c r="A584" s="29" t="s">
        <v>1071</v>
      </c>
      <c r="B584" s="15">
        <v>1</v>
      </c>
      <c r="C584" s="16" t="e">
        <f>IF([2]!Artículos4[[#This Row],[Proveedor (código)]]="","",VLOOKUP([2]!Artículos4[[#This Row],[Proveedor (código)]],[2]Proveedores!A:B,2,FALSE))</f>
        <v>#REF!</v>
      </c>
      <c r="D584" s="29" t="s">
        <v>595</v>
      </c>
      <c r="E584" s="29" t="s">
        <v>586</v>
      </c>
      <c r="F584" s="51"/>
      <c r="G584" s="14"/>
      <c r="H584" s="14"/>
      <c r="I584" s="14"/>
      <c r="J584" s="16">
        <f>SUMIFS(Entradas!G:G,Entradas!E:E,Artículos[[#This Row],[Código]])</f>
        <v>0</v>
      </c>
      <c r="K584" s="16">
        <f>SUMIFS(Salidas!G:G,Salidas!E:E,Artículos[[#This Row],[Código]])</f>
        <v>0</v>
      </c>
      <c r="L584" s="16">
        <f>Artículos[[#This Row],[Existencias iniciales]]+Artículos[[#This Row],[Entradas]]-Artículos[[#This Row],[Salidas]]</f>
        <v>0</v>
      </c>
      <c r="M584" s="16" t="s">
        <v>51</v>
      </c>
      <c r="N584" s="16"/>
    </row>
    <row r="585" spans="1:14" ht="14.4" hidden="1" customHeight="1" x14ac:dyDescent="0.3">
      <c r="A585" s="29" t="s">
        <v>1072</v>
      </c>
      <c r="B585" s="15"/>
      <c r="C585" s="16" t="e">
        <f>IF([2]!Artículos4[[#This Row],[Proveedor (código)]]="","",VLOOKUP([2]!Artículos4[[#This Row],[Proveedor (código)]],[2]Proveedores!A:B,2,FALSE))</f>
        <v>#REF!</v>
      </c>
      <c r="D585" s="29" t="s">
        <v>596</v>
      </c>
      <c r="E585" s="29" t="s">
        <v>586</v>
      </c>
      <c r="F585" s="51"/>
      <c r="G585" s="14"/>
      <c r="H585" s="14"/>
      <c r="I585" s="14"/>
      <c r="J585" s="16">
        <f>SUMIFS(Entradas!G:G,Entradas!E:E,Artículos[[#This Row],[Código]])</f>
        <v>0</v>
      </c>
      <c r="K585" s="16">
        <f>SUMIFS(Salidas!G:G,Salidas!E:E,Artículos[[#This Row],[Código]])</f>
        <v>0</v>
      </c>
      <c r="L585" s="16">
        <f>Artículos[[#This Row],[Existencias iniciales]]+Artículos[[#This Row],[Entradas]]-Artículos[[#This Row],[Salidas]]</f>
        <v>0</v>
      </c>
      <c r="M585" s="16" t="s">
        <v>73</v>
      </c>
      <c r="N585" s="16"/>
    </row>
    <row r="586" spans="1:14" ht="14.4" hidden="1" customHeight="1" x14ac:dyDescent="0.3">
      <c r="A586" s="29" t="s">
        <v>1073</v>
      </c>
      <c r="B586" s="15">
        <v>1</v>
      </c>
      <c r="C586" s="16" t="e">
        <f>IF([2]!Artículos4[[#This Row],[Proveedor (código)]]="","",VLOOKUP([2]!Artículos4[[#This Row],[Proveedor (código)]],[2]Proveedores!A:B,2,FALSE))</f>
        <v>#REF!</v>
      </c>
      <c r="D586" s="29" t="s">
        <v>597</v>
      </c>
      <c r="E586" s="29" t="s">
        <v>586</v>
      </c>
      <c r="F586" s="51"/>
      <c r="G586" s="14"/>
      <c r="H586" s="14"/>
      <c r="I586" s="14"/>
      <c r="J586" s="16">
        <f>SUMIFS(Entradas!G:G,Entradas!E:E,Artículos[[#This Row],[Código]])</f>
        <v>1</v>
      </c>
      <c r="K586" s="16">
        <f>SUMIFS(Salidas!G:G,Salidas!E:E,Artículos[[#This Row],[Código]])</f>
        <v>0</v>
      </c>
      <c r="L586" s="16">
        <f>Artículos[[#This Row],[Existencias iniciales]]+Artículos[[#This Row],[Entradas]]-Artículos[[#This Row],[Salidas]]</f>
        <v>1</v>
      </c>
      <c r="M586" s="16" t="s">
        <v>72</v>
      </c>
      <c r="N586" s="16"/>
    </row>
    <row r="587" spans="1:14" ht="14.4" hidden="1" customHeight="1" x14ac:dyDescent="0.3">
      <c r="A587" s="29" t="s">
        <v>1074</v>
      </c>
      <c r="B587" s="15">
        <v>1</v>
      </c>
      <c r="C587" s="16" t="e">
        <f>IF([2]!Artículos4[[#This Row],[Proveedor (código)]]="","",VLOOKUP([2]!Artículos4[[#This Row],[Proveedor (código)]],[2]Proveedores!A:B,2,FALSE))</f>
        <v>#REF!</v>
      </c>
      <c r="D587" s="29" t="s">
        <v>598</v>
      </c>
      <c r="E587" s="29" t="s">
        <v>586</v>
      </c>
      <c r="F587" s="51"/>
      <c r="G587" s="14"/>
      <c r="H587" s="14"/>
      <c r="I587" s="14"/>
      <c r="J587" s="16">
        <f>SUMIFS(Entradas!G:G,Entradas!E:E,Artículos[[#This Row],[Código]])</f>
        <v>0</v>
      </c>
      <c r="K587" s="16">
        <f>SUMIFS(Salidas!G:G,Salidas!E:E,Artículos[[#This Row],[Código]])</f>
        <v>0</v>
      </c>
      <c r="L587" s="16">
        <f>Artículos[[#This Row],[Existencias iniciales]]+Artículos[[#This Row],[Entradas]]-Artículos[[#This Row],[Salidas]]</f>
        <v>0</v>
      </c>
      <c r="M587" s="16" t="s">
        <v>74</v>
      </c>
      <c r="N587" s="16"/>
    </row>
    <row r="588" spans="1:14" ht="14.4" hidden="1" customHeight="1" x14ac:dyDescent="0.3">
      <c r="A588" s="29" t="s">
        <v>1075</v>
      </c>
      <c r="B588" s="15">
        <v>1</v>
      </c>
      <c r="C588" s="16" t="e">
        <f>IF([2]!Artículos4[[#This Row],[Proveedor (código)]]="","",VLOOKUP([2]!Artículos4[[#This Row],[Proveedor (código)]],[2]Proveedores!A:B,2,FALSE))</f>
        <v>#REF!</v>
      </c>
      <c r="D588" s="29" t="s">
        <v>599</v>
      </c>
      <c r="E588" s="29" t="s">
        <v>586</v>
      </c>
      <c r="F588" s="51"/>
      <c r="G588" s="14"/>
      <c r="H588" s="14"/>
      <c r="I588" s="14"/>
      <c r="J588" s="16">
        <f>SUMIFS(Entradas!G:G,Entradas!E:E,Artículos[[#This Row],[Código]])</f>
        <v>0</v>
      </c>
      <c r="K588" s="16">
        <f>SUMIFS(Salidas!G:G,Salidas!E:E,Artículos[[#This Row],[Código]])</f>
        <v>0</v>
      </c>
      <c r="L588" s="16">
        <f>Artículos[[#This Row],[Existencias iniciales]]+Artículos[[#This Row],[Entradas]]-Artículos[[#This Row],[Salidas]]</f>
        <v>0</v>
      </c>
      <c r="M588" s="16" t="s">
        <v>72</v>
      </c>
      <c r="N588" s="16"/>
    </row>
    <row r="589" spans="1:14" ht="14.4" hidden="1" customHeight="1" x14ac:dyDescent="0.3">
      <c r="A589" s="29" t="s">
        <v>1076</v>
      </c>
      <c r="B589" s="15"/>
      <c r="C589" s="16" t="e">
        <f>IF([2]!Artículos4[[#This Row],[Proveedor (código)]]="","",VLOOKUP([2]!Artículos4[[#This Row],[Proveedor (código)]],[2]Proveedores!A:B,2,FALSE))</f>
        <v>#REF!</v>
      </c>
      <c r="D589" s="29" t="s">
        <v>600</v>
      </c>
      <c r="E589" s="29" t="s">
        <v>586</v>
      </c>
      <c r="F589" s="51"/>
      <c r="G589" s="14"/>
      <c r="H589" s="14"/>
      <c r="I589" s="14"/>
      <c r="J589" s="16">
        <f>SUMIFS(Entradas!G:G,Entradas!E:E,Artículos[[#This Row],[Código]])</f>
        <v>0</v>
      </c>
      <c r="K589" s="16">
        <f>SUMIFS(Salidas!G:G,Salidas!E:E,Artículos[[#This Row],[Código]])</f>
        <v>0</v>
      </c>
      <c r="L589" s="16">
        <f>Artículos[[#This Row],[Existencias iniciales]]+Artículos[[#This Row],[Entradas]]-Artículos[[#This Row],[Salidas]]</f>
        <v>0</v>
      </c>
      <c r="M589" s="16" t="s">
        <v>72</v>
      </c>
      <c r="N589" s="16"/>
    </row>
    <row r="590" spans="1:14" ht="14.4" hidden="1" customHeight="1" x14ac:dyDescent="0.3">
      <c r="A590" s="29" t="s">
        <v>1077</v>
      </c>
      <c r="B590" s="15">
        <v>1</v>
      </c>
      <c r="C590" s="16" t="e">
        <f>IF([2]!Artículos4[[#This Row],[Proveedor (código)]]="","",VLOOKUP([2]!Artículos4[[#This Row],[Proveedor (código)]],[2]Proveedores!A:B,2,FALSE))</f>
        <v>#REF!</v>
      </c>
      <c r="D590" s="29" t="s">
        <v>601</v>
      </c>
      <c r="E590" s="29" t="s">
        <v>586</v>
      </c>
      <c r="F590" s="51"/>
      <c r="G590" s="14"/>
      <c r="H590" s="14"/>
      <c r="I590" s="14"/>
      <c r="J590" s="16">
        <f>SUMIFS(Entradas!G:G,Entradas!E:E,Artículos[[#This Row],[Código]])</f>
        <v>0</v>
      </c>
      <c r="K590" s="16">
        <f>SUMIFS(Salidas!G:G,Salidas!E:E,Artículos[[#This Row],[Código]])</f>
        <v>0</v>
      </c>
      <c r="L590" s="16">
        <f>Artículos[[#This Row],[Existencias iniciales]]+Artículos[[#This Row],[Entradas]]-Artículos[[#This Row],[Salidas]]</f>
        <v>0</v>
      </c>
      <c r="M590" s="16" t="s">
        <v>72</v>
      </c>
      <c r="N590" s="16"/>
    </row>
    <row r="591" spans="1:14" ht="14.4" hidden="1" customHeight="1" x14ac:dyDescent="0.3">
      <c r="A591" s="29" t="s">
        <v>1078</v>
      </c>
      <c r="B591" s="15">
        <v>1</v>
      </c>
      <c r="C591" s="16" t="e">
        <f>IF([2]!Artículos4[[#This Row],[Proveedor (código)]]="","",VLOOKUP([2]!Artículos4[[#This Row],[Proveedor (código)]],[2]Proveedores!A:B,2,FALSE))</f>
        <v>#REF!</v>
      </c>
      <c r="D591" s="29" t="s">
        <v>602</v>
      </c>
      <c r="E591" s="29" t="s">
        <v>586</v>
      </c>
      <c r="F591" s="51"/>
      <c r="G591" s="14"/>
      <c r="H591" s="14"/>
      <c r="I591" s="14"/>
      <c r="J591" s="16">
        <f>SUMIFS(Entradas!G:G,Entradas!E:E,Artículos[[#This Row],[Código]])</f>
        <v>0</v>
      </c>
      <c r="K591" s="16">
        <f>SUMIFS(Salidas!G:G,Salidas!E:E,Artículos[[#This Row],[Código]])</f>
        <v>0</v>
      </c>
      <c r="L591" s="16">
        <f>Artículos[[#This Row],[Existencias iniciales]]+Artículos[[#This Row],[Entradas]]-Artículos[[#This Row],[Salidas]]</f>
        <v>0</v>
      </c>
      <c r="M591" s="16" t="s">
        <v>69</v>
      </c>
      <c r="N591" s="16"/>
    </row>
    <row r="592" spans="1:14" ht="14.4" hidden="1" customHeight="1" x14ac:dyDescent="0.3">
      <c r="A592" s="29" t="s">
        <v>1079</v>
      </c>
      <c r="B592" s="15">
        <v>1</v>
      </c>
      <c r="C592" s="16" t="e">
        <f>IF([2]!Artículos4[[#This Row],[Proveedor (código)]]="","",VLOOKUP([2]!Artículos4[[#This Row],[Proveedor (código)]],[2]Proveedores!A:B,2,FALSE))</f>
        <v>#REF!</v>
      </c>
      <c r="D592" s="29" t="s">
        <v>603</v>
      </c>
      <c r="E592" s="29" t="s">
        <v>586</v>
      </c>
      <c r="F592" s="51"/>
      <c r="G592" s="14"/>
      <c r="H592" s="14"/>
      <c r="I592" s="14"/>
      <c r="J592" s="16">
        <f>SUMIFS(Entradas!G:G,Entradas!E:E,Artículos[[#This Row],[Código]])</f>
        <v>0</v>
      </c>
      <c r="K592" s="16">
        <f>SUMIFS(Salidas!G:G,Salidas!E:E,Artículos[[#This Row],[Código]])</f>
        <v>0</v>
      </c>
      <c r="L592" s="16">
        <f>Artículos[[#This Row],[Existencias iniciales]]+Artículos[[#This Row],[Entradas]]-Artículos[[#This Row],[Salidas]]</f>
        <v>0</v>
      </c>
      <c r="M592" s="16" t="s">
        <v>69</v>
      </c>
      <c r="N592" s="16"/>
    </row>
    <row r="593" spans="1:14" ht="14.4" hidden="1" customHeight="1" x14ac:dyDescent="0.3">
      <c r="A593" s="29" t="s">
        <v>1080</v>
      </c>
      <c r="B593" s="15">
        <v>1</v>
      </c>
      <c r="C593" s="16" t="e">
        <f>IF([2]!Artículos4[[#This Row],[Proveedor (código)]]="","",VLOOKUP([2]!Artículos4[[#This Row],[Proveedor (código)]],[2]Proveedores!A:B,2,FALSE))</f>
        <v>#REF!</v>
      </c>
      <c r="D593" s="29" t="s">
        <v>604</v>
      </c>
      <c r="E593" s="29" t="s">
        <v>586</v>
      </c>
      <c r="F593" s="51"/>
      <c r="G593" s="14"/>
      <c r="H593" s="14"/>
      <c r="I593" s="14"/>
      <c r="J593" s="16">
        <f>SUMIFS(Entradas!G:G,Entradas!E:E,Artículos[[#This Row],[Código]])</f>
        <v>0</v>
      </c>
      <c r="K593" s="16">
        <f>SUMIFS(Salidas!G:G,Salidas!E:E,Artículos[[#This Row],[Código]])</f>
        <v>0</v>
      </c>
      <c r="L593" s="16">
        <f>Artículos[[#This Row],[Existencias iniciales]]+Artículos[[#This Row],[Entradas]]-Artículos[[#This Row],[Salidas]]</f>
        <v>0</v>
      </c>
      <c r="M593" s="16" t="s">
        <v>69</v>
      </c>
      <c r="N593" s="16"/>
    </row>
    <row r="594" spans="1:14" ht="14.4" hidden="1" customHeight="1" x14ac:dyDescent="0.3">
      <c r="A594" s="29" t="s">
        <v>1081</v>
      </c>
      <c r="B594" s="15">
        <v>1</v>
      </c>
      <c r="C594" s="16" t="e">
        <f>IF([2]!Artículos4[[#This Row],[Proveedor (código)]]="","",VLOOKUP([2]!Artículos4[[#This Row],[Proveedor (código)]],[2]Proveedores!A:B,2,FALSE))</f>
        <v>#REF!</v>
      </c>
      <c r="D594" s="29" t="s">
        <v>605</v>
      </c>
      <c r="E594" s="29" t="s">
        <v>586</v>
      </c>
      <c r="F594" s="51"/>
      <c r="G594" s="14"/>
      <c r="H594" s="14"/>
      <c r="I594" s="14"/>
      <c r="J594" s="16">
        <f>SUMIFS(Entradas!G:G,Entradas!E:E,Artículos[[#This Row],[Código]])</f>
        <v>0</v>
      </c>
      <c r="K594" s="16">
        <f>SUMIFS(Salidas!G:G,Salidas!E:E,Artículos[[#This Row],[Código]])</f>
        <v>0</v>
      </c>
      <c r="L594" s="16">
        <f>Artículos[[#This Row],[Existencias iniciales]]+Artículos[[#This Row],[Entradas]]-Artículos[[#This Row],[Salidas]]</f>
        <v>0</v>
      </c>
      <c r="M594" s="16" t="s">
        <v>69</v>
      </c>
      <c r="N594" s="16"/>
    </row>
    <row r="595" spans="1:14" ht="14.4" hidden="1" customHeight="1" x14ac:dyDescent="0.3">
      <c r="A595" s="29" t="s">
        <v>1082</v>
      </c>
      <c r="B595" s="15"/>
      <c r="C595" s="16" t="e">
        <f>IF([2]!Artículos4[[#This Row],[Proveedor (código)]]="","",VLOOKUP([2]!Artículos4[[#This Row],[Proveedor (código)]],[2]Proveedores!A:B,2,FALSE))</f>
        <v>#REF!</v>
      </c>
      <c r="D595" s="29" t="s">
        <v>606</v>
      </c>
      <c r="E595" s="29" t="s">
        <v>586</v>
      </c>
      <c r="F595" s="51"/>
      <c r="G595" s="14"/>
      <c r="H595" s="14"/>
      <c r="I595" s="14"/>
      <c r="J595" s="16">
        <f>SUMIFS(Entradas!G:G,Entradas!E:E,Artículos[[#This Row],[Código]])</f>
        <v>0</v>
      </c>
      <c r="K595" s="16">
        <f>SUMIFS(Salidas!G:G,Salidas!E:E,Artículos[[#This Row],[Código]])</f>
        <v>0</v>
      </c>
      <c r="L595" s="16">
        <f>Artículos[[#This Row],[Existencias iniciales]]+Artículos[[#This Row],[Entradas]]-Artículos[[#This Row],[Salidas]]</f>
        <v>0</v>
      </c>
      <c r="M595" s="16" t="s">
        <v>69</v>
      </c>
      <c r="N595" s="16"/>
    </row>
    <row r="596" spans="1:14" ht="14.4" hidden="1" customHeight="1" x14ac:dyDescent="0.3">
      <c r="A596" s="29" t="s">
        <v>1083</v>
      </c>
      <c r="B596" s="15"/>
      <c r="C596" s="16" t="e">
        <f>IF([2]!Artículos4[[#This Row],[Proveedor (código)]]="","",VLOOKUP([2]!Artículos4[[#This Row],[Proveedor (código)]],[2]Proveedores!A:B,2,FALSE))</f>
        <v>#REF!</v>
      </c>
      <c r="D596" s="29" t="s">
        <v>607</v>
      </c>
      <c r="E596" s="29" t="s">
        <v>586</v>
      </c>
      <c r="F596" s="51"/>
      <c r="G596" s="14"/>
      <c r="H596" s="14"/>
      <c r="I596" s="14"/>
      <c r="J596" s="16">
        <f>SUMIFS(Entradas!G:G,Entradas!E:E,Artículos[[#This Row],[Código]])</f>
        <v>0</v>
      </c>
      <c r="K596" s="16">
        <f>SUMIFS(Salidas!G:G,Salidas!E:E,Artículos[[#This Row],[Código]])</f>
        <v>0</v>
      </c>
      <c r="L596" s="16">
        <f>Artículos[[#This Row],[Existencias iniciales]]+Artículos[[#This Row],[Entradas]]-Artículos[[#This Row],[Salidas]]</f>
        <v>0</v>
      </c>
      <c r="M596" s="16" t="s">
        <v>89</v>
      </c>
      <c r="N596" s="16"/>
    </row>
    <row r="597" spans="1:14" ht="14.4" hidden="1" customHeight="1" x14ac:dyDescent="0.3">
      <c r="A597" s="29" t="s">
        <v>1084</v>
      </c>
      <c r="B597" s="15"/>
      <c r="C597" s="16" t="e">
        <f>IF([2]!Artículos4[[#This Row],[Proveedor (código)]]="","",VLOOKUP([2]!Artículos4[[#This Row],[Proveedor (código)]],[2]Proveedores!A:B,2,FALSE))</f>
        <v>#REF!</v>
      </c>
      <c r="D597" s="29" t="s">
        <v>608</v>
      </c>
      <c r="E597" s="29" t="s">
        <v>586</v>
      </c>
      <c r="F597" s="51"/>
      <c r="G597" s="14"/>
      <c r="H597" s="14"/>
      <c r="I597" s="14"/>
      <c r="J597" s="16">
        <f>SUMIFS(Entradas!G:G,Entradas!E:E,Artículos[[#This Row],[Código]])</f>
        <v>0</v>
      </c>
      <c r="K597" s="16">
        <f>SUMIFS(Salidas!G:G,Salidas!E:E,Artículos[[#This Row],[Código]])</f>
        <v>0</v>
      </c>
      <c r="L597" s="16">
        <f>Artículos[[#This Row],[Existencias iniciales]]+Artículos[[#This Row],[Entradas]]-Artículos[[#This Row],[Salidas]]</f>
        <v>0</v>
      </c>
      <c r="M597" s="16" t="s">
        <v>89</v>
      </c>
      <c r="N597" s="16"/>
    </row>
    <row r="598" spans="1:14" ht="14.4" hidden="1" customHeight="1" x14ac:dyDescent="0.3">
      <c r="A598" s="29" t="s">
        <v>1085</v>
      </c>
      <c r="B598" s="15"/>
      <c r="C598" s="16" t="e">
        <f>IF([2]!Artículos4[[#This Row],[Proveedor (código)]]="","",VLOOKUP([2]!Artículos4[[#This Row],[Proveedor (código)]],[2]Proveedores!A:B,2,FALSE))</f>
        <v>#REF!</v>
      </c>
      <c r="D598" s="29" t="s">
        <v>609</v>
      </c>
      <c r="E598" s="29" t="s">
        <v>586</v>
      </c>
      <c r="F598" s="51"/>
      <c r="G598" s="14"/>
      <c r="H598" s="14"/>
      <c r="I598" s="14"/>
      <c r="J598" s="16">
        <f>SUMIFS(Entradas!G:G,Entradas!E:E,Artículos[[#This Row],[Código]])</f>
        <v>0</v>
      </c>
      <c r="K598" s="16">
        <f>SUMIFS(Salidas!G:G,Salidas!E:E,Artículos[[#This Row],[Código]])</f>
        <v>0</v>
      </c>
      <c r="L598" s="16">
        <f>Artículos[[#This Row],[Existencias iniciales]]+Artículos[[#This Row],[Entradas]]-Artículos[[#This Row],[Salidas]]</f>
        <v>0</v>
      </c>
      <c r="M598" s="16" t="s">
        <v>71</v>
      </c>
      <c r="N598" s="16"/>
    </row>
    <row r="599" spans="1:14" ht="14.4" hidden="1" customHeight="1" x14ac:dyDescent="0.3">
      <c r="A599" s="29" t="s">
        <v>1086</v>
      </c>
      <c r="B599" s="15"/>
      <c r="C599" s="16"/>
      <c r="D599" s="29" t="s">
        <v>610</v>
      </c>
      <c r="E599" s="29" t="s">
        <v>586</v>
      </c>
      <c r="F599" s="51"/>
      <c r="G599" s="14"/>
      <c r="H599" s="14"/>
      <c r="I599" s="14"/>
      <c r="J599" s="16">
        <f>SUMIFS(Entradas!G:G,Entradas!E:E,Artículos[[#This Row],[Código]])</f>
        <v>0</v>
      </c>
      <c r="K599" s="16">
        <f>SUMIFS(Salidas!G:G,Salidas!E:E,Artículos[[#This Row],[Código]])</f>
        <v>0</v>
      </c>
      <c r="L599" s="16">
        <f>Artículos[[#This Row],[Existencias iniciales]]+Artículos[[#This Row],[Entradas]]-Artículos[[#This Row],[Salidas]]</f>
        <v>0</v>
      </c>
      <c r="M599" s="16" t="s">
        <v>76</v>
      </c>
      <c r="N599" s="16"/>
    </row>
    <row r="600" spans="1:14" ht="14.4" hidden="1" customHeight="1" x14ac:dyDescent="0.3">
      <c r="A600" s="29" t="s">
        <v>1087</v>
      </c>
      <c r="B600" s="15"/>
      <c r="C600" s="16" t="e">
        <f>IF([2]!Artículos4[[#This Row],[Proveedor (código)]]="","",VLOOKUP([2]!Artículos4[[#This Row],[Proveedor (código)]],[2]Proveedores!A:B,2,FALSE))</f>
        <v>#REF!</v>
      </c>
      <c r="D600" s="29" t="s">
        <v>611</v>
      </c>
      <c r="E600" s="29" t="s">
        <v>586</v>
      </c>
      <c r="F600" s="51"/>
      <c r="G600" s="14"/>
      <c r="H600" s="14"/>
      <c r="I600" s="14"/>
      <c r="J600" s="16">
        <f>SUMIFS(Entradas!G:G,Entradas!E:E,Artículos[[#This Row],[Código]])</f>
        <v>0</v>
      </c>
      <c r="K600" s="16">
        <f>SUMIFS(Salidas!G:G,Salidas!E:E,Artículos[[#This Row],[Código]])</f>
        <v>0</v>
      </c>
      <c r="L600" s="16">
        <f>Artículos[[#This Row],[Existencias iniciales]]+Artículos[[#This Row],[Entradas]]-Artículos[[#This Row],[Salidas]]</f>
        <v>0</v>
      </c>
      <c r="M600" s="16"/>
      <c r="N600" s="16"/>
    </row>
    <row r="601" spans="1:14" ht="14.4" hidden="1" customHeight="1" x14ac:dyDescent="0.3">
      <c r="A601" s="29" t="s">
        <v>1088</v>
      </c>
      <c r="B601" s="15"/>
      <c r="C601" s="16" t="e">
        <f>IF([2]!Artículos4[[#This Row],[Proveedor (código)]]="","",VLOOKUP([2]!Artículos4[[#This Row],[Proveedor (código)]],[2]Proveedores!A:B,2,FALSE))</f>
        <v>#REF!</v>
      </c>
      <c r="D601" s="29" t="s">
        <v>612</v>
      </c>
      <c r="E601" s="29" t="s">
        <v>586</v>
      </c>
      <c r="F601" s="51"/>
      <c r="G601" s="14"/>
      <c r="H601" s="14"/>
      <c r="I601" s="14"/>
      <c r="J601" s="16">
        <f>SUMIFS(Entradas!G:G,Entradas!E:E,Artículos[[#This Row],[Código]])</f>
        <v>1</v>
      </c>
      <c r="K601" s="16">
        <f>SUMIFS(Salidas!G:G,Salidas!E:E,Artículos[[#This Row],[Código]])</f>
        <v>0</v>
      </c>
      <c r="L601" s="16">
        <f>Artículos[[#This Row],[Existencias iniciales]]+Artículos[[#This Row],[Entradas]]-Artículos[[#This Row],[Salidas]]</f>
        <v>1</v>
      </c>
      <c r="M601" s="16"/>
      <c r="N601" s="16"/>
    </row>
    <row r="602" spans="1:14" ht="14.4" hidden="1" customHeight="1" x14ac:dyDescent="0.3">
      <c r="A602" s="29" t="s">
        <v>1089</v>
      </c>
      <c r="B602" s="15"/>
      <c r="C602" s="16" t="e">
        <f>IF([2]!Artículos4[[#This Row],[Proveedor (código)]]="","",VLOOKUP([2]!Artículos4[[#This Row],[Proveedor (código)]],[2]Proveedores!A:B,2,FALSE))</f>
        <v>#REF!</v>
      </c>
      <c r="D602" s="29" t="s">
        <v>613</v>
      </c>
      <c r="E602" s="29" t="s">
        <v>586</v>
      </c>
      <c r="F602" s="51"/>
      <c r="G602" s="14"/>
      <c r="H602" s="14"/>
      <c r="I602" s="14"/>
      <c r="J602" s="16">
        <f>SUMIFS(Entradas!G:G,Entradas!E:E,Artículos[[#This Row],[Código]])</f>
        <v>1</v>
      </c>
      <c r="K602" s="16">
        <f>SUMIFS(Salidas!G:G,Salidas!E:E,Artículos[[#This Row],[Código]])</f>
        <v>0</v>
      </c>
      <c r="L602" s="16">
        <f>Artículos[[#This Row],[Existencias iniciales]]+Artículos[[#This Row],[Entradas]]-Artículos[[#This Row],[Salidas]]</f>
        <v>1</v>
      </c>
      <c r="M602" s="16"/>
      <c r="N602" s="16"/>
    </row>
    <row r="603" spans="1:14" ht="14.4" hidden="1" customHeight="1" x14ac:dyDescent="0.3">
      <c r="A603" s="29" t="s">
        <v>1090</v>
      </c>
      <c r="B603" s="15"/>
      <c r="C603" s="16" t="e">
        <f>IF([2]!Artículos4[[#This Row],[Proveedor (código)]]="","",VLOOKUP([2]!Artículos4[[#This Row],[Proveedor (código)]],[2]Proveedores!A:B,2,FALSE))</f>
        <v>#REF!</v>
      </c>
      <c r="D603" s="29" t="s">
        <v>614</v>
      </c>
      <c r="E603" s="29" t="s">
        <v>586</v>
      </c>
      <c r="F603" s="51"/>
      <c r="G603" s="14"/>
      <c r="H603" s="14"/>
      <c r="I603" s="14"/>
      <c r="J603" s="16">
        <f>SUMIFS(Entradas!G:G,Entradas!E:E,Artículos[[#This Row],[Código]])</f>
        <v>0</v>
      </c>
      <c r="K603" s="16">
        <f>SUMIFS(Salidas!G:G,Salidas!E:E,Artículos[[#This Row],[Código]])</f>
        <v>0</v>
      </c>
      <c r="L603" s="16">
        <f>Artículos[[#This Row],[Existencias iniciales]]+Artículos[[#This Row],[Entradas]]-Artículos[[#This Row],[Salidas]]</f>
        <v>0</v>
      </c>
      <c r="M603" s="16"/>
      <c r="N603" s="16"/>
    </row>
    <row r="604" spans="1:14" ht="14.4" hidden="1" customHeight="1" x14ac:dyDescent="0.3">
      <c r="A604" s="29" t="s">
        <v>1091</v>
      </c>
      <c r="B604" s="15"/>
      <c r="C604" s="16" t="e">
        <f>IF([2]!Artículos4[[#This Row],[Proveedor (código)]]="","",VLOOKUP([2]!Artículos4[[#This Row],[Proveedor (código)]],[2]Proveedores!A:B,2,FALSE))</f>
        <v>#REF!</v>
      </c>
      <c r="D604" s="29" t="s">
        <v>615</v>
      </c>
      <c r="E604" s="29" t="s">
        <v>586</v>
      </c>
      <c r="F604" s="51"/>
      <c r="G604" s="14"/>
      <c r="H604" s="14"/>
      <c r="I604" s="14"/>
      <c r="J604" s="16">
        <f>SUMIFS(Entradas!G:G,Entradas!E:E,Artículos[[#This Row],[Código]])</f>
        <v>0</v>
      </c>
      <c r="K604" s="16">
        <f>SUMIFS(Salidas!G:G,Salidas!E:E,Artículos[[#This Row],[Código]])</f>
        <v>0</v>
      </c>
      <c r="L604" s="16">
        <f>Artículos[[#This Row],[Existencias iniciales]]+Artículos[[#This Row],[Entradas]]-Artículos[[#This Row],[Salidas]]</f>
        <v>0</v>
      </c>
      <c r="M604" s="16"/>
      <c r="N604" s="16"/>
    </row>
    <row r="605" spans="1:14" ht="14.4" hidden="1" customHeight="1" x14ac:dyDescent="0.3">
      <c r="A605" s="29" t="s">
        <v>1092</v>
      </c>
      <c r="B605" s="15"/>
      <c r="C605" s="16" t="e">
        <f>IF([2]!Artículos4[[#This Row],[Proveedor (código)]]="","",VLOOKUP([2]!Artículos4[[#This Row],[Proveedor (código)]],[2]Proveedores!A:B,2,FALSE))</f>
        <v>#REF!</v>
      </c>
      <c r="D605" s="29" t="s">
        <v>616</v>
      </c>
      <c r="E605" s="29" t="s">
        <v>586</v>
      </c>
      <c r="F605" s="51"/>
      <c r="G605" s="14"/>
      <c r="H605" s="14"/>
      <c r="I605" s="14"/>
      <c r="J605" s="16">
        <f>SUMIFS(Entradas!G:G,Entradas!E:E,Artículos[[#This Row],[Código]])</f>
        <v>0</v>
      </c>
      <c r="K605" s="16">
        <f>SUMIFS(Salidas!G:G,Salidas!E:E,Artículos[[#This Row],[Código]])</f>
        <v>0</v>
      </c>
      <c r="L605" s="16">
        <f>Artículos[[#This Row],[Existencias iniciales]]+Artículos[[#This Row],[Entradas]]-Artículos[[#This Row],[Salidas]]</f>
        <v>0</v>
      </c>
      <c r="M605" s="16"/>
      <c r="N605" s="16"/>
    </row>
    <row r="606" spans="1:14" ht="14.4" hidden="1" customHeight="1" x14ac:dyDescent="0.3">
      <c r="A606" s="29" t="s">
        <v>1093</v>
      </c>
      <c r="B606" s="15"/>
      <c r="C606" s="16" t="e">
        <f>IF([2]!Artículos4[[#This Row],[Proveedor (código)]]="","",VLOOKUP([2]!Artículos4[[#This Row],[Proveedor (código)]],[2]Proveedores!A:B,2,FALSE))</f>
        <v>#REF!</v>
      </c>
      <c r="D606" s="29" t="s">
        <v>617</v>
      </c>
      <c r="E606" s="29" t="s">
        <v>586</v>
      </c>
      <c r="F606" s="51"/>
      <c r="G606" s="14"/>
      <c r="H606" s="14"/>
      <c r="I606" s="14"/>
      <c r="J606" s="16">
        <f>SUMIFS(Entradas!G:G,Entradas!E:E,Artículos[[#This Row],[Código]])</f>
        <v>0</v>
      </c>
      <c r="K606" s="16">
        <f>SUMIFS(Salidas!G:G,Salidas!E:E,Artículos[[#This Row],[Código]])</f>
        <v>0</v>
      </c>
      <c r="L606" s="16">
        <f>Artículos[[#This Row],[Existencias iniciales]]+Artículos[[#This Row],[Entradas]]-Artículos[[#This Row],[Salidas]]</f>
        <v>0</v>
      </c>
      <c r="M606" s="16"/>
      <c r="N606" s="16"/>
    </row>
    <row r="607" spans="1:14" ht="14.4" hidden="1" customHeight="1" x14ac:dyDescent="0.3">
      <c r="A607" s="29" t="s">
        <v>1094</v>
      </c>
      <c r="B607" s="15"/>
      <c r="C607" s="16" t="e">
        <f>IF([2]!Artículos4[[#This Row],[Proveedor (código)]]="","",VLOOKUP([2]!Artículos4[[#This Row],[Proveedor (código)]],[2]Proveedores!A:B,2,FALSE))</f>
        <v>#REF!</v>
      </c>
      <c r="D607" s="29" t="s">
        <v>618</v>
      </c>
      <c r="E607" s="29" t="s">
        <v>586</v>
      </c>
      <c r="F607" s="51"/>
      <c r="G607" s="14"/>
      <c r="H607" s="14"/>
      <c r="I607" s="14"/>
      <c r="J607" s="16">
        <f>SUMIFS(Entradas!G:G,Entradas!E:E,Artículos[[#This Row],[Código]])</f>
        <v>0</v>
      </c>
      <c r="K607" s="16">
        <f>SUMIFS(Salidas!G:G,Salidas!E:E,Artículos[[#This Row],[Código]])</f>
        <v>0</v>
      </c>
      <c r="L607" s="16">
        <f>Artículos[[#This Row],[Existencias iniciales]]+Artículos[[#This Row],[Entradas]]-Artículos[[#This Row],[Salidas]]</f>
        <v>0</v>
      </c>
      <c r="M607" s="16"/>
      <c r="N607" s="16"/>
    </row>
    <row r="608" spans="1:14" ht="14.4" hidden="1" customHeight="1" x14ac:dyDescent="0.3">
      <c r="A608" s="29" t="s">
        <v>1095</v>
      </c>
      <c r="B608" s="15"/>
      <c r="C608" s="16" t="e">
        <f>IF([2]!Artículos4[[#This Row],[Proveedor (código)]]="","",VLOOKUP([2]!Artículos4[[#This Row],[Proveedor (código)]],[2]Proveedores!A:B,2,FALSE))</f>
        <v>#REF!</v>
      </c>
      <c r="D608" s="29" t="s">
        <v>619</v>
      </c>
      <c r="E608" s="29" t="s">
        <v>586</v>
      </c>
      <c r="F608" s="51"/>
      <c r="G608" s="14"/>
      <c r="H608" s="14"/>
      <c r="I608" s="14"/>
      <c r="J608" s="16">
        <f>SUMIFS(Entradas!G:G,Entradas!E:E,Artículos[[#This Row],[Código]])</f>
        <v>0</v>
      </c>
      <c r="K608" s="16">
        <f>SUMIFS(Salidas!G:G,Salidas!E:E,Artículos[[#This Row],[Código]])</f>
        <v>0</v>
      </c>
      <c r="L608" s="16">
        <f>Artículos[[#This Row],[Existencias iniciales]]+Artículos[[#This Row],[Entradas]]-Artículos[[#This Row],[Salidas]]</f>
        <v>0</v>
      </c>
      <c r="M608" s="16"/>
      <c r="N608" s="16"/>
    </row>
    <row r="609" spans="1:14" ht="14.4" hidden="1" customHeight="1" x14ac:dyDescent="0.3">
      <c r="A609" s="29" t="s">
        <v>1096</v>
      </c>
      <c r="B609" s="15"/>
      <c r="C609" s="16" t="e">
        <f>IF([2]!Artículos4[[#This Row],[Proveedor (código)]]="","",VLOOKUP([2]!Artículos4[[#This Row],[Proveedor (código)]],[2]Proveedores!A:B,2,FALSE))</f>
        <v>#REF!</v>
      </c>
      <c r="D609" s="29" t="s">
        <v>620</v>
      </c>
      <c r="E609" s="29" t="s">
        <v>586</v>
      </c>
      <c r="F609" s="51"/>
      <c r="G609" s="14"/>
      <c r="H609" s="14"/>
      <c r="I609" s="14"/>
      <c r="J609" s="16">
        <f>SUMIFS(Entradas!G:G,Entradas!E:E,Artículos[[#This Row],[Código]])</f>
        <v>0</v>
      </c>
      <c r="K609" s="16">
        <f>SUMIFS(Salidas!G:G,Salidas!E:E,Artículos[[#This Row],[Código]])</f>
        <v>0</v>
      </c>
      <c r="L609" s="16">
        <f>Artículos[[#This Row],[Existencias iniciales]]+Artículos[[#This Row],[Entradas]]-Artículos[[#This Row],[Salidas]]</f>
        <v>0</v>
      </c>
      <c r="M609" s="16"/>
      <c r="N609" s="16"/>
    </row>
    <row r="610" spans="1:14" ht="14.4" hidden="1" customHeight="1" x14ac:dyDescent="0.3">
      <c r="A610" s="29" t="s">
        <v>1097</v>
      </c>
      <c r="B610" s="15"/>
      <c r="C610" s="16" t="e">
        <f>IF([2]!Artículos4[[#This Row],[Proveedor (código)]]="","",VLOOKUP([2]!Artículos4[[#This Row],[Proveedor (código)]],[2]Proveedores!A:B,2,FALSE))</f>
        <v>#REF!</v>
      </c>
      <c r="D610" s="29" t="s">
        <v>621</v>
      </c>
      <c r="E610" s="29" t="s">
        <v>586</v>
      </c>
      <c r="F610" s="51"/>
      <c r="G610" s="14"/>
      <c r="H610" s="14"/>
      <c r="I610" s="14"/>
      <c r="J610" s="16">
        <f>SUMIFS(Entradas!G:G,Entradas!E:E,Artículos[[#This Row],[Código]])</f>
        <v>0</v>
      </c>
      <c r="K610" s="16">
        <f>SUMIFS(Salidas!G:G,Salidas!E:E,Artículos[[#This Row],[Código]])</f>
        <v>0</v>
      </c>
      <c r="L610" s="16">
        <f>Artículos[[#This Row],[Existencias iniciales]]+Artículos[[#This Row],[Entradas]]-Artículos[[#This Row],[Salidas]]</f>
        <v>0</v>
      </c>
      <c r="M610" s="16"/>
      <c r="N610" s="16"/>
    </row>
    <row r="611" spans="1:14" ht="14.4" hidden="1" customHeight="1" x14ac:dyDescent="0.3">
      <c r="A611" s="29" t="s">
        <v>1098</v>
      </c>
      <c r="B611" s="15"/>
      <c r="C611" s="16" t="e">
        <f>IF([2]!Artículos4[[#This Row],[Proveedor (código)]]="","",VLOOKUP([2]!Artículos4[[#This Row],[Proveedor (código)]],[2]Proveedores!A:B,2,FALSE))</f>
        <v>#REF!</v>
      </c>
      <c r="D611" s="29" t="s">
        <v>622</v>
      </c>
      <c r="E611" s="29" t="s">
        <v>586</v>
      </c>
      <c r="F611" s="51"/>
      <c r="G611" s="14"/>
      <c r="H611" s="14"/>
      <c r="I611" s="14"/>
      <c r="J611" s="16">
        <f>SUMIFS(Entradas!G:G,Entradas!E:E,Artículos[[#This Row],[Código]])</f>
        <v>0</v>
      </c>
      <c r="K611" s="16">
        <f>SUMIFS(Salidas!G:G,Salidas!E:E,Artículos[[#This Row],[Código]])</f>
        <v>0</v>
      </c>
      <c r="L611" s="16">
        <f>Artículos[[#This Row],[Existencias iniciales]]+Artículos[[#This Row],[Entradas]]-Artículos[[#This Row],[Salidas]]</f>
        <v>0</v>
      </c>
      <c r="M611" s="16"/>
      <c r="N611" s="16"/>
    </row>
    <row r="612" spans="1:14" ht="14.4" hidden="1" customHeight="1" x14ac:dyDescent="0.3">
      <c r="A612" s="29" t="s">
        <v>1099</v>
      </c>
      <c r="B612" s="15"/>
      <c r="C612" s="16" t="e">
        <f>IF([2]!Artículos4[[#This Row],[Proveedor (código)]]="","",VLOOKUP([2]!Artículos4[[#This Row],[Proveedor (código)]],[2]Proveedores!A:B,2,FALSE))</f>
        <v>#REF!</v>
      </c>
      <c r="D612" s="29" t="s">
        <v>623</v>
      </c>
      <c r="E612" s="29" t="s">
        <v>586</v>
      </c>
      <c r="F612" s="51"/>
      <c r="G612" s="14"/>
      <c r="H612" s="14"/>
      <c r="I612" s="14"/>
      <c r="J612" s="16">
        <f>SUMIFS(Entradas!G:G,Entradas!E:E,Artículos[[#This Row],[Código]])</f>
        <v>0</v>
      </c>
      <c r="K612" s="16">
        <f>SUMIFS(Salidas!G:G,Salidas!E:E,Artículos[[#This Row],[Código]])</f>
        <v>0</v>
      </c>
      <c r="L612" s="16">
        <f>Artículos[[#This Row],[Existencias iniciales]]+Artículos[[#This Row],[Entradas]]-Artículos[[#This Row],[Salidas]]</f>
        <v>0</v>
      </c>
      <c r="M612" s="16"/>
      <c r="N612" s="16"/>
    </row>
    <row r="613" spans="1:14" ht="14.4" hidden="1" customHeight="1" x14ac:dyDescent="0.3">
      <c r="A613" s="29" t="s">
        <v>1100</v>
      </c>
      <c r="B613" s="15"/>
      <c r="C613" s="16" t="e">
        <f>IF([2]!Artículos4[[#This Row],[Proveedor (código)]]="","",VLOOKUP([2]!Artículos4[[#This Row],[Proveedor (código)]],[2]Proveedores!A:B,2,FALSE))</f>
        <v>#REF!</v>
      </c>
      <c r="D613" s="29" t="s">
        <v>624</v>
      </c>
      <c r="E613" s="29" t="s">
        <v>586</v>
      </c>
      <c r="F613" s="51"/>
      <c r="G613" s="14"/>
      <c r="H613" s="14"/>
      <c r="I613" s="14">
        <v>48</v>
      </c>
      <c r="J613" s="16">
        <f>SUMIFS(Entradas!G:G,Entradas!E:E,Artículos[[#This Row],[Código]])</f>
        <v>0</v>
      </c>
      <c r="K613" s="16">
        <f>SUMIFS(Salidas!G:G,Salidas!E:E,Artículos[[#This Row],[Código]])</f>
        <v>0</v>
      </c>
      <c r="L613" s="16">
        <f>Artículos[[#This Row],[Existencias iniciales]]+Artículos[[#This Row],[Entradas]]-Artículos[[#This Row],[Salidas]]</f>
        <v>48</v>
      </c>
      <c r="M613" s="16"/>
      <c r="N613" s="16"/>
    </row>
    <row r="614" spans="1:14" ht="14.4" hidden="1" customHeight="1" x14ac:dyDescent="0.3">
      <c r="A614" s="29" t="s">
        <v>1101</v>
      </c>
      <c r="B614" s="15"/>
      <c r="C614" s="16" t="e">
        <f>IF([2]!Artículos4[[#This Row],[Proveedor (código)]]="","",VLOOKUP([2]!Artículos4[[#This Row],[Proveedor (código)]],[2]Proveedores!A:B,2,FALSE))</f>
        <v>#REF!</v>
      </c>
      <c r="D614" s="29" t="s">
        <v>625</v>
      </c>
      <c r="E614" s="29" t="s">
        <v>586</v>
      </c>
      <c r="F614" s="51"/>
      <c r="G614" s="14"/>
      <c r="H614" s="14"/>
      <c r="I614" s="14"/>
      <c r="J614" s="16">
        <f>SUMIFS(Entradas!G:G,Entradas!E:E,Artículos[[#This Row],[Código]])</f>
        <v>0</v>
      </c>
      <c r="K614" s="16">
        <f>SUMIFS(Salidas!G:G,Salidas!E:E,Artículos[[#This Row],[Código]])</f>
        <v>0</v>
      </c>
      <c r="L614" s="16">
        <f>Artículos[[#This Row],[Existencias iniciales]]+Artículos[[#This Row],[Entradas]]-Artículos[[#This Row],[Salidas]]</f>
        <v>0</v>
      </c>
      <c r="M614" s="16"/>
      <c r="N614" s="16"/>
    </row>
    <row r="615" spans="1:14" ht="14.4" hidden="1" customHeight="1" x14ac:dyDescent="0.3">
      <c r="A615" s="29" t="s">
        <v>1102</v>
      </c>
      <c r="B615" s="15"/>
      <c r="C615" s="16" t="e">
        <f>IF([2]!Artículos4[[#This Row],[Proveedor (código)]]="","",VLOOKUP([2]!Artículos4[[#This Row],[Proveedor (código)]],[2]Proveedores!A:B,2,FALSE))</f>
        <v>#REF!</v>
      </c>
      <c r="D615" s="29" t="s">
        <v>626</v>
      </c>
      <c r="E615" s="29" t="s">
        <v>586</v>
      </c>
      <c r="F615" s="51"/>
      <c r="G615" s="14"/>
      <c r="H615" s="14"/>
      <c r="I615" s="14"/>
      <c r="J615" s="16">
        <f>SUMIFS(Entradas!G:G,Entradas!E:E,Artículos[[#This Row],[Código]])</f>
        <v>0</v>
      </c>
      <c r="K615" s="16">
        <f>SUMIFS(Salidas!G:G,Salidas!E:E,Artículos[[#This Row],[Código]])</f>
        <v>0</v>
      </c>
      <c r="L615" s="16">
        <f>Artículos[[#This Row],[Existencias iniciales]]+Artículos[[#This Row],[Entradas]]-Artículos[[#This Row],[Salidas]]</f>
        <v>0</v>
      </c>
      <c r="M615" s="16"/>
      <c r="N615" s="16"/>
    </row>
    <row r="616" spans="1:14" ht="14.4" hidden="1" customHeight="1" x14ac:dyDescent="0.3">
      <c r="A616" s="29" t="s">
        <v>1103</v>
      </c>
      <c r="B616" s="15"/>
      <c r="C616" s="16" t="e">
        <f>IF([2]!Artículos4[[#This Row],[Proveedor (código)]]="","",VLOOKUP([2]!Artículos4[[#This Row],[Proveedor (código)]],[2]Proveedores!A:B,2,FALSE))</f>
        <v>#REF!</v>
      </c>
      <c r="D616" s="29" t="s">
        <v>627</v>
      </c>
      <c r="E616" s="29" t="s">
        <v>586</v>
      </c>
      <c r="F616" s="51"/>
      <c r="G616" s="14"/>
      <c r="H616" s="14"/>
      <c r="I616" s="14"/>
      <c r="J616" s="16">
        <f>SUMIFS(Entradas!G:G,Entradas!E:E,Artículos[[#This Row],[Código]])</f>
        <v>0</v>
      </c>
      <c r="K616" s="16">
        <f>SUMIFS(Salidas!G:G,Salidas!E:E,Artículos[[#This Row],[Código]])</f>
        <v>0</v>
      </c>
      <c r="L616" s="16">
        <f>Artículos[[#This Row],[Existencias iniciales]]+Artículos[[#This Row],[Entradas]]-Artículos[[#This Row],[Salidas]]</f>
        <v>0</v>
      </c>
      <c r="M616" s="16"/>
      <c r="N616" s="16"/>
    </row>
    <row r="617" spans="1:14" ht="14.4" hidden="1" customHeight="1" x14ac:dyDescent="0.3">
      <c r="A617" s="29" t="s">
        <v>1104</v>
      </c>
      <c r="B617" s="15"/>
      <c r="C617" s="16" t="e">
        <f>IF([2]!Artículos4[[#This Row],[Proveedor (código)]]="","",VLOOKUP([2]!Artículos4[[#This Row],[Proveedor (código)]],[2]Proveedores!A:B,2,FALSE))</f>
        <v>#REF!</v>
      </c>
      <c r="D617" s="29" t="s">
        <v>628</v>
      </c>
      <c r="E617" s="29" t="s">
        <v>586</v>
      </c>
      <c r="F617" s="51"/>
      <c r="G617" s="14"/>
      <c r="H617" s="14"/>
      <c r="I617" s="14"/>
      <c r="J617" s="16">
        <f>SUMIFS(Entradas!G:G,Entradas!E:E,Artículos[[#This Row],[Código]])</f>
        <v>0</v>
      </c>
      <c r="K617" s="16">
        <f>SUMIFS(Salidas!G:G,Salidas!E:E,Artículos[[#This Row],[Código]])</f>
        <v>0</v>
      </c>
      <c r="L617" s="16">
        <f>Artículos[[#This Row],[Existencias iniciales]]+Artículos[[#This Row],[Entradas]]-Artículos[[#This Row],[Salidas]]</f>
        <v>0</v>
      </c>
      <c r="M617" s="16"/>
      <c r="N617" s="16"/>
    </row>
    <row r="618" spans="1:14" ht="14.4" hidden="1" customHeight="1" x14ac:dyDescent="0.3">
      <c r="A618" s="29" t="s">
        <v>1105</v>
      </c>
      <c r="B618" s="15"/>
      <c r="C618" s="16" t="e">
        <f>IF([2]!Artículos4[[#This Row],[Proveedor (código)]]="","",VLOOKUP([2]!Artículos4[[#This Row],[Proveedor (código)]],[2]Proveedores!A:B,2,FALSE))</f>
        <v>#REF!</v>
      </c>
      <c r="D618" s="29" t="s">
        <v>629</v>
      </c>
      <c r="E618" s="29" t="s">
        <v>586</v>
      </c>
      <c r="F618" s="51"/>
      <c r="G618" s="14"/>
      <c r="H618" s="14"/>
      <c r="I618" s="14"/>
      <c r="J618" s="16">
        <f>SUMIFS(Entradas!G:G,Entradas!E:E,Artículos[[#This Row],[Código]])</f>
        <v>0</v>
      </c>
      <c r="K618" s="16">
        <f>SUMIFS(Salidas!G:G,Salidas!E:E,Artículos[[#This Row],[Código]])</f>
        <v>0</v>
      </c>
      <c r="L618" s="16">
        <f>Artículos[[#This Row],[Existencias iniciales]]+Artículos[[#This Row],[Entradas]]-Artículos[[#This Row],[Salidas]]</f>
        <v>0</v>
      </c>
      <c r="M618" s="16"/>
      <c r="N618" s="16"/>
    </row>
    <row r="619" spans="1:14" ht="14.4" hidden="1" customHeight="1" x14ac:dyDescent="0.3">
      <c r="A619" s="29" t="s">
        <v>1106</v>
      </c>
      <c r="B619" s="15"/>
      <c r="C619" s="16" t="e">
        <f>IF([2]!Artículos4[[#This Row],[Proveedor (código)]]="","",VLOOKUP([2]!Artículos4[[#This Row],[Proveedor (código)]],[2]Proveedores!A:B,2,FALSE))</f>
        <v>#REF!</v>
      </c>
      <c r="D619" s="29" t="s">
        <v>630</v>
      </c>
      <c r="E619" s="29" t="s">
        <v>586</v>
      </c>
      <c r="F619" s="51"/>
      <c r="G619" s="14"/>
      <c r="H619" s="14"/>
      <c r="I619" s="14"/>
      <c r="J619" s="16">
        <f>SUMIFS(Entradas!G:G,Entradas!E:E,Artículos[[#This Row],[Código]])</f>
        <v>0</v>
      </c>
      <c r="K619" s="16">
        <f>SUMIFS(Salidas!G:G,Salidas!E:E,Artículos[[#This Row],[Código]])</f>
        <v>0</v>
      </c>
      <c r="L619" s="16">
        <f>Artículos[[#This Row],[Existencias iniciales]]+Artículos[[#This Row],[Entradas]]-Artículos[[#This Row],[Salidas]]</f>
        <v>0</v>
      </c>
      <c r="M619" s="16"/>
      <c r="N619" s="16"/>
    </row>
    <row r="620" spans="1:14" ht="14.4" hidden="1" customHeight="1" x14ac:dyDescent="0.3">
      <c r="A620" s="29" t="s">
        <v>1107</v>
      </c>
      <c r="B620" s="15"/>
      <c r="C620" s="16" t="e">
        <f>IF([2]!Artículos4[[#This Row],[Proveedor (código)]]="","",VLOOKUP([2]!Artículos4[[#This Row],[Proveedor (código)]],[2]Proveedores!A:B,2,FALSE))</f>
        <v>#REF!</v>
      </c>
      <c r="D620" s="29" t="s">
        <v>631</v>
      </c>
      <c r="E620" s="29" t="s">
        <v>586</v>
      </c>
      <c r="F620" s="51"/>
      <c r="G620" s="14"/>
      <c r="H620" s="14"/>
      <c r="I620" s="14"/>
      <c r="J620" s="16">
        <f>SUMIFS(Entradas!G:G,Entradas!E:E,Artículos[[#This Row],[Código]])</f>
        <v>0</v>
      </c>
      <c r="K620" s="16">
        <f>SUMIFS(Salidas!G:G,Salidas!E:E,Artículos[[#This Row],[Código]])</f>
        <v>0</v>
      </c>
      <c r="L620" s="16">
        <f>Artículos[[#This Row],[Existencias iniciales]]+Artículos[[#This Row],[Entradas]]-Artículos[[#This Row],[Salidas]]</f>
        <v>0</v>
      </c>
      <c r="M620" s="16"/>
      <c r="N620" s="16"/>
    </row>
    <row r="621" spans="1:14" ht="14.4" hidden="1" customHeight="1" x14ac:dyDescent="0.3">
      <c r="A621" s="29" t="s">
        <v>1108</v>
      </c>
      <c r="B621" s="15"/>
      <c r="C621" s="16" t="e">
        <f>IF([2]!Artículos4[[#This Row],[Proveedor (código)]]="","",VLOOKUP([2]!Artículos4[[#This Row],[Proveedor (código)]],[2]Proveedores!A:B,2,FALSE))</f>
        <v>#REF!</v>
      </c>
      <c r="D621" s="29" t="s">
        <v>632</v>
      </c>
      <c r="E621" s="29" t="s">
        <v>586</v>
      </c>
      <c r="F621" s="51"/>
      <c r="G621" s="14"/>
      <c r="H621" s="14"/>
      <c r="I621" s="14"/>
      <c r="J621" s="16">
        <f>SUMIFS(Entradas!G:G,Entradas!E:E,Artículos[[#This Row],[Código]])</f>
        <v>0</v>
      </c>
      <c r="K621" s="16">
        <f>SUMIFS(Salidas!G:G,Salidas!E:E,Artículos[[#This Row],[Código]])</f>
        <v>0</v>
      </c>
      <c r="L621" s="16">
        <f>Artículos[[#This Row],[Existencias iniciales]]+Artículos[[#This Row],[Entradas]]-Artículos[[#This Row],[Salidas]]</f>
        <v>0</v>
      </c>
      <c r="M621" s="16"/>
      <c r="N621" s="16"/>
    </row>
    <row r="622" spans="1:14" ht="14.4" hidden="1" customHeight="1" x14ac:dyDescent="0.3">
      <c r="A622" s="29" t="s">
        <v>1109</v>
      </c>
      <c r="B622" s="15"/>
      <c r="C622" s="16" t="e">
        <f>IF([2]!Artículos4[[#This Row],[Proveedor (código)]]="","",VLOOKUP([2]!Artículos4[[#This Row],[Proveedor (código)]],[2]Proveedores!A:B,2,FALSE))</f>
        <v>#REF!</v>
      </c>
      <c r="D622" s="29" t="s">
        <v>633</v>
      </c>
      <c r="E622" s="29" t="s">
        <v>586</v>
      </c>
      <c r="F622" s="51"/>
      <c r="G622" s="14"/>
      <c r="H622" s="14"/>
      <c r="I622" s="14"/>
      <c r="J622" s="16">
        <f>SUMIFS(Entradas!G:G,Entradas!E:E,Artículos[[#This Row],[Código]])</f>
        <v>0</v>
      </c>
      <c r="K622" s="16">
        <f>SUMIFS(Salidas!G:G,Salidas!E:E,Artículos[[#This Row],[Código]])</f>
        <v>0</v>
      </c>
      <c r="L622" s="16">
        <f>Artículos[[#This Row],[Existencias iniciales]]+Artículos[[#This Row],[Entradas]]-Artículos[[#This Row],[Salidas]]</f>
        <v>0</v>
      </c>
      <c r="M622" s="16"/>
      <c r="N622" s="16"/>
    </row>
    <row r="623" spans="1:14" ht="14.4" hidden="1" customHeight="1" x14ac:dyDescent="0.3">
      <c r="A623" s="29" t="s">
        <v>1110</v>
      </c>
      <c r="B623" s="15"/>
      <c r="C623" s="16" t="e">
        <f>IF([2]!Artículos4[[#This Row],[Proveedor (código)]]="","",VLOOKUP([2]!Artículos4[[#This Row],[Proveedor (código)]],[2]Proveedores!A:B,2,FALSE))</f>
        <v>#REF!</v>
      </c>
      <c r="D623" s="29" t="s">
        <v>634</v>
      </c>
      <c r="E623" s="29" t="s">
        <v>586</v>
      </c>
      <c r="F623" s="51"/>
      <c r="G623" s="14"/>
      <c r="H623" s="14"/>
      <c r="I623" s="14"/>
      <c r="J623" s="16">
        <f>SUMIFS(Entradas!G:G,Entradas!E:E,Artículos[[#This Row],[Código]])</f>
        <v>0</v>
      </c>
      <c r="K623" s="16">
        <f>SUMIFS(Salidas!G:G,Salidas!E:E,Artículos[[#This Row],[Código]])</f>
        <v>0</v>
      </c>
      <c r="L623" s="16">
        <f>Artículos[[#This Row],[Existencias iniciales]]+Artículos[[#This Row],[Entradas]]-Artículos[[#This Row],[Salidas]]</f>
        <v>0</v>
      </c>
      <c r="M623" s="16"/>
      <c r="N623" s="16"/>
    </row>
    <row r="624" spans="1:14" ht="14.4" hidden="1" customHeight="1" x14ac:dyDescent="0.3">
      <c r="A624" s="29" t="s">
        <v>1111</v>
      </c>
      <c r="B624" s="15"/>
      <c r="C624" s="16" t="e">
        <f>IF([2]!Artículos4[[#This Row],[Proveedor (código)]]="","",VLOOKUP([2]!Artículos4[[#This Row],[Proveedor (código)]],[2]Proveedores!A:B,2,FALSE))</f>
        <v>#REF!</v>
      </c>
      <c r="D624" s="29" t="s">
        <v>635</v>
      </c>
      <c r="E624" s="29" t="s">
        <v>586</v>
      </c>
      <c r="F624" s="51"/>
      <c r="G624" s="14"/>
      <c r="H624" s="14"/>
      <c r="I624" s="14"/>
      <c r="J624" s="16">
        <f>SUMIFS(Entradas!G:G,Entradas!E:E,Artículos[[#This Row],[Código]])</f>
        <v>0</v>
      </c>
      <c r="K624" s="16">
        <f>SUMIFS(Salidas!G:G,Salidas!E:E,Artículos[[#This Row],[Código]])</f>
        <v>0</v>
      </c>
      <c r="L624" s="16">
        <f>Artículos[[#This Row],[Existencias iniciales]]+Artículos[[#This Row],[Entradas]]-Artículos[[#This Row],[Salidas]]</f>
        <v>0</v>
      </c>
      <c r="M624" s="16"/>
      <c r="N624" s="16"/>
    </row>
    <row r="625" spans="1:14" ht="14.4" hidden="1" customHeight="1" x14ac:dyDescent="0.3">
      <c r="A625" s="29" t="s">
        <v>1112</v>
      </c>
      <c r="B625" s="15"/>
      <c r="C625" s="16" t="e">
        <f>IF([2]!Artículos4[[#This Row],[Proveedor (código)]]="","",VLOOKUP([2]!Artículos4[[#This Row],[Proveedor (código)]],[2]Proveedores!A:B,2,FALSE))</f>
        <v>#REF!</v>
      </c>
      <c r="D625" s="29" t="s">
        <v>636</v>
      </c>
      <c r="E625" s="29" t="s">
        <v>586</v>
      </c>
      <c r="F625" s="51"/>
      <c r="G625" s="14"/>
      <c r="H625" s="14"/>
      <c r="I625" s="14"/>
      <c r="J625" s="16">
        <f>SUMIFS(Entradas!G:G,Entradas!E:E,Artículos[[#This Row],[Código]])</f>
        <v>1</v>
      </c>
      <c r="K625" s="16">
        <f>SUMIFS(Salidas!G:G,Salidas!E:E,Artículos[[#This Row],[Código]])</f>
        <v>0</v>
      </c>
      <c r="L625" s="16">
        <f>Artículos[[#This Row],[Existencias iniciales]]+Artículos[[#This Row],[Entradas]]-Artículos[[#This Row],[Salidas]]</f>
        <v>1</v>
      </c>
      <c r="M625" s="16"/>
      <c r="N625" s="16"/>
    </row>
    <row r="626" spans="1:14" ht="14.4" hidden="1" customHeight="1" x14ac:dyDescent="0.3">
      <c r="A626" s="29" t="s">
        <v>1113</v>
      </c>
      <c r="B626" s="15"/>
      <c r="C626" s="16" t="e">
        <f>IF([2]!Artículos4[[#This Row],[Proveedor (código)]]="","",VLOOKUP([2]!Artículos4[[#This Row],[Proveedor (código)]],[2]Proveedores!A:B,2,FALSE))</f>
        <v>#REF!</v>
      </c>
      <c r="D626" s="29" t="s">
        <v>637</v>
      </c>
      <c r="E626" s="29" t="s">
        <v>586</v>
      </c>
      <c r="F626" s="51"/>
      <c r="G626" s="14"/>
      <c r="H626" s="14"/>
      <c r="I626" s="14"/>
      <c r="J626" s="16">
        <f>SUMIFS(Entradas!G:G,Entradas!E:E,Artículos[[#This Row],[Código]])</f>
        <v>0</v>
      </c>
      <c r="K626" s="16">
        <f>SUMIFS(Salidas!G:G,Salidas!E:E,Artículos[[#This Row],[Código]])</f>
        <v>0</v>
      </c>
      <c r="L626" s="16">
        <f>Artículos[[#This Row],[Existencias iniciales]]+Artículos[[#This Row],[Entradas]]-Artículos[[#This Row],[Salidas]]</f>
        <v>0</v>
      </c>
      <c r="M626" s="16"/>
      <c r="N626" s="16"/>
    </row>
    <row r="627" spans="1:14" ht="14.4" hidden="1" customHeight="1" x14ac:dyDescent="0.3">
      <c r="A627" s="29" t="s">
        <v>1114</v>
      </c>
      <c r="B627" s="15"/>
      <c r="C627" s="16" t="e">
        <f>IF([2]!Artículos4[[#This Row],[Proveedor (código)]]="","",VLOOKUP([2]!Artículos4[[#This Row],[Proveedor (código)]],[2]Proveedores!A:B,2,FALSE))</f>
        <v>#REF!</v>
      </c>
      <c r="D627" s="29" t="s">
        <v>638</v>
      </c>
      <c r="E627" s="29" t="s">
        <v>586</v>
      </c>
      <c r="F627" s="51"/>
      <c r="G627" s="14"/>
      <c r="H627" s="14"/>
      <c r="I627" s="14"/>
      <c r="J627" s="16">
        <f>SUMIFS(Entradas!G:G,Entradas!E:E,Artículos[[#This Row],[Código]])</f>
        <v>0</v>
      </c>
      <c r="K627" s="16">
        <f>SUMIFS(Salidas!G:G,Salidas!E:E,Artículos[[#This Row],[Código]])</f>
        <v>0</v>
      </c>
      <c r="L627" s="16">
        <f>Artículos[[#This Row],[Existencias iniciales]]+Artículos[[#This Row],[Entradas]]-Artículos[[#This Row],[Salidas]]</f>
        <v>0</v>
      </c>
      <c r="M627" s="16"/>
      <c r="N627" s="16"/>
    </row>
    <row r="628" spans="1:14" ht="14.4" hidden="1" customHeight="1" x14ac:dyDescent="0.3">
      <c r="A628" s="29" t="s">
        <v>1115</v>
      </c>
      <c r="B628" s="15"/>
      <c r="C628" s="16" t="e">
        <f>IF([2]!Artículos4[[#This Row],[Proveedor (código)]]="","",VLOOKUP([2]!Artículos4[[#This Row],[Proveedor (código)]],[2]Proveedores!A:B,2,FALSE))</f>
        <v>#REF!</v>
      </c>
      <c r="D628" s="29" t="s">
        <v>639</v>
      </c>
      <c r="E628" s="29" t="s">
        <v>586</v>
      </c>
      <c r="F628" s="51"/>
      <c r="G628" s="14"/>
      <c r="H628" s="14"/>
      <c r="I628" s="14"/>
      <c r="J628" s="16">
        <f>SUMIFS(Entradas!G:G,Entradas!E:E,Artículos[[#This Row],[Código]])</f>
        <v>0</v>
      </c>
      <c r="K628" s="16">
        <f>SUMIFS(Salidas!G:G,Salidas!E:E,Artículos[[#This Row],[Código]])</f>
        <v>0</v>
      </c>
      <c r="L628" s="16">
        <f>Artículos[[#This Row],[Existencias iniciales]]+Artículos[[#This Row],[Entradas]]-Artículos[[#This Row],[Salidas]]</f>
        <v>0</v>
      </c>
      <c r="M628" s="16"/>
      <c r="N628" s="16"/>
    </row>
    <row r="629" spans="1:14" ht="14.4" hidden="1" customHeight="1" x14ac:dyDescent="0.3">
      <c r="A629" s="29" t="s">
        <v>1116</v>
      </c>
      <c r="B629" s="15"/>
      <c r="C629" s="16" t="e">
        <f>IF([2]!Artículos4[[#This Row],[Proveedor (código)]]="","",VLOOKUP([2]!Artículos4[[#This Row],[Proveedor (código)]],[2]Proveedores!A:B,2,FALSE))</f>
        <v>#REF!</v>
      </c>
      <c r="D629" s="29" t="s">
        <v>640</v>
      </c>
      <c r="E629" s="29" t="s">
        <v>586</v>
      </c>
      <c r="F629" s="51"/>
      <c r="G629" s="14"/>
      <c r="H629" s="14"/>
      <c r="I629" s="14"/>
      <c r="J629" s="16">
        <f>SUMIFS(Entradas!G:G,Entradas!E:E,Artículos[[#This Row],[Código]])</f>
        <v>0</v>
      </c>
      <c r="K629" s="16">
        <f>SUMIFS(Salidas!G:G,Salidas!E:E,Artículos[[#This Row],[Código]])</f>
        <v>0</v>
      </c>
      <c r="L629" s="16">
        <f>Artículos[[#This Row],[Existencias iniciales]]+Artículos[[#This Row],[Entradas]]-Artículos[[#This Row],[Salidas]]</f>
        <v>0</v>
      </c>
      <c r="M629" s="16"/>
      <c r="N629" s="16"/>
    </row>
    <row r="630" spans="1:14" ht="14.4" hidden="1" customHeight="1" x14ac:dyDescent="0.3">
      <c r="A630" s="29" t="s">
        <v>1117</v>
      </c>
      <c r="B630" s="15"/>
      <c r="C630" s="16" t="e">
        <f>IF([2]!Artículos4[[#This Row],[Proveedor (código)]]="","",VLOOKUP([2]!Artículos4[[#This Row],[Proveedor (código)]],[2]Proveedores!A:B,2,FALSE))</f>
        <v>#REF!</v>
      </c>
      <c r="D630" s="29" t="s">
        <v>641</v>
      </c>
      <c r="E630" s="29" t="s">
        <v>586</v>
      </c>
      <c r="F630" s="51"/>
      <c r="G630" s="14"/>
      <c r="H630" s="14"/>
      <c r="I630" s="14"/>
      <c r="J630" s="16">
        <f>SUMIFS(Entradas!G:G,Entradas!E:E,Artículos[[#This Row],[Código]])</f>
        <v>0</v>
      </c>
      <c r="K630" s="16">
        <f>SUMIFS(Salidas!G:G,Salidas!E:E,Artículos[[#This Row],[Código]])</f>
        <v>0</v>
      </c>
      <c r="L630" s="16">
        <f>Artículos[[#This Row],[Existencias iniciales]]+Artículos[[#This Row],[Entradas]]-Artículos[[#This Row],[Salidas]]</f>
        <v>0</v>
      </c>
      <c r="M630" s="16"/>
      <c r="N630" s="16"/>
    </row>
    <row r="631" spans="1:14" ht="14.4" hidden="1" customHeight="1" x14ac:dyDescent="0.3">
      <c r="A631" s="29" t="s">
        <v>1118</v>
      </c>
      <c r="B631" s="15"/>
      <c r="C631" s="16" t="e">
        <f>IF([2]!Artículos4[[#This Row],[Proveedor (código)]]="","",VLOOKUP([2]!Artículos4[[#This Row],[Proveedor (código)]],[2]Proveedores!A:B,2,FALSE))</f>
        <v>#REF!</v>
      </c>
      <c r="D631" s="29" t="s">
        <v>642</v>
      </c>
      <c r="E631" s="29" t="s">
        <v>586</v>
      </c>
      <c r="F631" s="51"/>
      <c r="G631" s="14"/>
      <c r="H631" s="14"/>
      <c r="I631" s="14"/>
      <c r="J631" s="16">
        <f>SUMIFS(Entradas!G:G,Entradas!E:E,Artículos[[#This Row],[Código]])</f>
        <v>0</v>
      </c>
      <c r="K631" s="16">
        <f>SUMIFS(Salidas!G:G,Salidas!E:E,Artículos[[#This Row],[Código]])</f>
        <v>0</v>
      </c>
      <c r="L631" s="16">
        <f>Artículos[[#This Row],[Existencias iniciales]]+Artículos[[#This Row],[Entradas]]-Artículos[[#This Row],[Salidas]]</f>
        <v>0</v>
      </c>
      <c r="M631" s="16"/>
      <c r="N631" s="16"/>
    </row>
    <row r="632" spans="1:14" ht="14.4" hidden="1" customHeight="1" x14ac:dyDescent="0.3">
      <c r="A632" s="29" t="s">
        <v>1119</v>
      </c>
      <c r="B632" s="15"/>
      <c r="C632" s="16" t="e">
        <f>IF([2]!Artículos4[[#This Row],[Proveedor (código)]]="","",VLOOKUP([2]!Artículos4[[#This Row],[Proveedor (código)]],[2]Proveedores!A:B,2,FALSE))</f>
        <v>#REF!</v>
      </c>
      <c r="D632" s="29" t="s">
        <v>643</v>
      </c>
      <c r="E632" s="29" t="s">
        <v>586</v>
      </c>
      <c r="F632" s="51"/>
      <c r="G632" s="14"/>
      <c r="H632" s="14"/>
      <c r="I632" s="14"/>
      <c r="J632" s="16">
        <f>SUMIFS(Entradas!G:G,Entradas!E:E,Artículos[[#This Row],[Código]])</f>
        <v>0</v>
      </c>
      <c r="K632" s="16">
        <f>SUMIFS(Salidas!G:G,Salidas!E:E,Artículos[[#This Row],[Código]])</f>
        <v>0</v>
      </c>
      <c r="L632" s="16">
        <f>Artículos[[#This Row],[Existencias iniciales]]+Artículos[[#This Row],[Entradas]]-Artículos[[#This Row],[Salidas]]</f>
        <v>0</v>
      </c>
      <c r="M632" s="16"/>
      <c r="N632" s="16"/>
    </row>
    <row r="633" spans="1:14" ht="14.4" hidden="1" customHeight="1" x14ac:dyDescent="0.3">
      <c r="A633" s="29" t="s">
        <v>1120</v>
      </c>
      <c r="B633" s="15"/>
      <c r="C633" s="16" t="e">
        <f>IF([2]!Artículos4[[#This Row],[Proveedor (código)]]="","",VLOOKUP([2]!Artículos4[[#This Row],[Proveedor (código)]],[2]Proveedores!A:B,2,FALSE))</f>
        <v>#REF!</v>
      </c>
      <c r="D633" s="29" t="s">
        <v>644</v>
      </c>
      <c r="E633" s="29" t="s">
        <v>586</v>
      </c>
      <c r="F633" s="51"/>
      <c r="G633" s="14"/>
      <c r="H633" s="14"/>
      <c r="I633" s="14"/>
      <c r="J633" s="16">
        <f>SUMIFS(Entradas!G:G,Entradas!E:E,Artículos[[#This Row],[Código]])</f>
        <v>0</v>
      </c>
      <c r="K633" s="16">
        <f>SUMIFS(Salidas!G:G,Salidas!E:E,Artículos[[#This Row],[Código]])</f>
        <v>0</v>
      </c>
      <c r="L633" s="16">
        <f>Artículos[[#This Row],[Existencias iniciales]]+Artículos[[#This Row],[Entradas]]-Artículos[[#This Row],[Salidas]]</f>
        <v>0</v>
      </c>
      <c r="M633" s="16"/>
      <c r="N633" s="16"/>
    </row>
    <row r="634" spans="1:14" ht="14.4" hidden="1" customHeight="1" x14ac:dyDescent="0.3">
      <c r="A634" s="29" t="s">
        <v>1121</v>
      </c>
      <c r="B634" s="15"/>
      <c r="C634" s="16" t="e">
        <f>IF([2]!Artículos4[[#This Row],[Proveedor (código)]]="","",VLOOKUP([2]!Artículos4[[#This Row],[Proveedor (código)]],[2]Proveedores!A:B,2,FALSE))</f>
        <v>#REF!</v>
      </c>
      <c r="D634" s="29" t="s">
        <v>645</v>
      </c>
      <c r="E634" s="29" t="s">
        <v>586</v>
      </c>
      <c r="F634" s="51"/>
      <c r="G634" s="14"/>
      <c r="H634" s="14"/>
      <c r="I634" s="14"/>
      <c r="J634" s="16">
        <f>SUMIFS(Entradas!G:G,Entradas!E:E,Artículos[[#This Row],[Código]])</f>
        <v>0</v>
      </c>
      <c r="K634" s="16">
        <f>SUMIFS(Salidas!G:G,Salidas!E:E,Artículos[[#This Row],[Código]])</f>
        <v>0</v>
      </c>
      <c r="L634" s="16">
        <f>Artículos[[#This Row],[Existencias iniciales]]+Artículos[[#This Row],[Entradas]]-Artículos[[#This Row],[Salidas]]</f>
        <v>0</v>
      </c>
      <c r="M634" s="16"/>
      <c r="N634" s="16"/>
    </row>
    <row r="635" spans="1:14" ht="14.4" hidden="1" customHeight="1" x14ac:dyDescent="0.3">
      <c r="A635" s="29" t="s">
        <v>1122</v>
      </c>
      <c r="B635" s="15"/>
      <c r="C635" s="16" t="e">
        <f>IF([2]!Artículos4[[#This Row],[Proveedor (código)]]="","",VLOOKUP([2]!Artículos4[[#This Row],[Proveedor (código)]],[2]Proveedores!A:B,2,FALSE))</f>
        <v>#REF!</v>
      </c>
      <c r="D635" s="29" t="s">
        <v>646</v>
      </c>
      <c r="E635" s="29" t="s">
        <v>586</v>
      </c>
      <c r="F635" s="51"/>
      <c r="G635" s="14"/>
      <c r="H635" s="14"/>
      <c r="I635" s="14"/>
      <c r="J635" s="16">
        <f>SUMIFS(Entradas!G:G,Entradas!E:E,Artículos[[#This Row],[Código]])</f>
        <v>0</v>
      </c>
      <c r="K635" s="16">
        <f>SUMIFS(Salidas!G:G,Salidas!E:E,Artículos[[#This Row],[Código]])</f>
        <v>0</v>
      </c>
      <c r="L635" s="16">
        <f>Artículos[[#This Row],[Existencias iniciales]]+Artículos[[#This Row],[Entradas]]-Artículos[[#This Row],[Salidas]]</f>
        <v>0</v>
      </c>
      <c r="M635" s="16"/>
      <c r="N635" s="16"/>
    </row>
    <row r="636" spans="1:14" ht="14.4" hidden="1" customHeight="1" x14ac:dyDescent="0.3">
      <c r="A636" s="29" t="s">
        <v>1123</v>
      </c>
      <c r="B636" s="15"/>
      <c r="C636" s="16" t="e">
        <f>IF([2]!Artículos4[[#This Row],[Proveedor (código)]]="","",VLOOKUP([2]!Artículos4[[#This Row],[Proveedor (código)]],[2]Proveedores!A:B,2,FALSE))</f>
        <v>#REF!</v>
      </c>
      <c r="D636" s="29" t="s">
        <v>647</v>
      </c>
      <c r="E636" s="29" t="s">
        <v>586</v>
      </c>
      <c r="F636" s="51"/>
      <c r="G636" s="14"/>
      <c r="H636" s="14"/>
      <c r="I636" s="14"/>
      <c r="J636" s="16">
        <f>SUMIFS(Entradas!G:G,Entradas!E:E,Artículos[[#This Row],[Código]])</f>
        <v>0</v>
      </c>
      <c r="K636" s="16">
        <f>SUMIFS(Salidas!G:G,Salidas!E:E,Artículos[[#This Row],[Código]])</f>
        <v>0</v>
      </c>
      <c r="L636" s="16">
        <f>Artículos[[#This Row],[Existencias iniciales]]+Artículos[[#This Row],[Entradas]]-Artículos[[#This Row],[Salidas]]</f>
        <v>0</v>
      </c>
      <c r="M636" s="16"/>
      <c r="N636" s="16"/>
    </row>
    <row r="637" spans="1:14" ht="14.4" hidden="1" customHeight="1" x14ac:dyDescent="0.3">
      <c r="A637" s="29" t="s">
        <v>1124</v>
      </c>
      <c r="B637" s="15"/>
      <c r="C637" s="16" t="e">
        <f>IF([2]!Artículos4[[#This Row],[Proveedor (código)]]="","",VLOOKUP([2]!Artículos4[[#This Row],[Proveedor (código)]],[2]Proveedores!A:B,2,FALSE))</f>
        <v>#REF!</v>
      </c>
      <c r="D637" s="29" t="s">
        <v>648</v>
      </c>
      <c r="E637" s="29" t="s">
        <v>586</v>
      </c>
      <c r="F637" s="51"/>
      <c r="G637" s="14"/>
      <c r="H637" s="14"/>
      <c r="I637" s="14"/>
      <c r="J637" s="16">
        <f>SUMIFS(Entradas!G:G,Entradas!E:E,Artículos[[#This Row],[Código]])</f>
        <v>0</v>
      </c>
      <c r="K637" s="16">
        <f>SUMIFS(Salidas!G:G,Salidas!E:E,Artículos[[#This Row],[Código]])</f>
        <v>0</v>
      </c>
      <c r="L637" s="16">
        <f>Artículos[[#This Row],[Existencias iniciales]]+Artículos[[#This Row],[Entradas]]-Artículos[[#This Row],[Salidas]]</f>
        <v>0</v>
      </c>
      <c r="M637" s="16"/>
      <c r="N637" s="16"/>
    </row>
    <row r="638" spans="1:14" ht="14.4" hidden="1" customHeight="1" x14ac:dyDescent="0.3">
      <c r="A638" s="29" t="s">
        <v>1125</v>
      </c>
      <c r="B638" s="15"/>
      <c r="C638" s="16" t="e">
        <f>IF([2]!Artículos4[[#This Row],[Proveedor (código)]]="","",VLOOKUP([2]!Artículos4[[#This Row],[Proveedor (código)]],[2]Proveedores!A:B,2,FALSE))</f>
        <v>#REF!</v>
      </c>
      <c r="D638" s="29" t="s">
        <v>649</v>
      </c>
      <c r="E638" s="29" t="s">
        <v>586</v>
      </c>
      <c r="F638" s="51"/>
      <c r="G638" s="14"/>
      <c r="H638" s="14"/>
      <c r="I638" s="14"/>
      <c r="J638" s="16">
        <f>SUMIFS(Entradas!G:G,Entradas!E:E,Artículos[[#This Row],[Código]])</f>
        <v>0</v>
      </c>
      <c r="K638" s="16">
        <f>SUMIFS(Salidas!G:G,Salidas!E:E,Artículos[[#This Row],[Código]])</f>
        <v>0</v>
      </c>
      <c r="L638" s="16">
        <f>Artículos[[#This Row],[Existencias iniciales]]+Artículos[[#This Row],[Entradas]]-Artículos[[#This Row],[Salidas]]</f>
        <v>0</v>
      </c>
      <c r="M638" s="16"/>
      <c r="N638" s="16"/>
    </row>
    <row r="639" spans="1:14" ht="14.4" hidden="1" customHeight="1" x14ac:dyDescent="0.3">
      <c r="A639" s="29" t="s">
        <v>1126</v>
      </c>
      <c r="B639" s="15"/>
      <c r="C639" s="16" t="e">
        <f>IF([2]!Artículos4[[#This Row],[Proveedor (código)]]="","",VLOOKUP([2]!Artículos4[[#This Row],[Proveedor (código)]],[2]Proveedores!A:B,2,FALSE))</f>
        <v>#REF!</v>
      </c>
      <c r="D639" s="29" t="s">
        <v>650</v>
      </c>
      <c r="E639" s="29" t="s">
        <v>586</v>
      </c>
      <c r="F639" s="51"/>
      <c r="G639" s="14"/>
      <c r="H639" s="14"/>
      <c r="I639" s="14"/>
      <c r="J639" s="16">
        <f>SUMIFS(Entradas!G:G,Entradas!E:E,Artículos[[#This Row],[Código]])</f>
        <v>0</v>
      </c>
      <c r="K639" s="16">
        <f>SUMIFS(Salidas!G:G,Salidas!E:E,Artículos[[#This Row],[Código]])</f>
        <v>0</v>
      </c>
      <c r="L639" s="16">
        <f>Artículos[[#This Row],[Existencias iniciales]]+Artículos[[#This Row],[Entradas]]-Artículos[[#This Row],[Salidas]]</f>
        <v>0</v>
      </c>
      <c r="M639" s="16"/>
      <c r="N639" s="16"/>
    </row>
    <row r="640" spans="1:14" ht="14.4" hidden="1" customHeight="1" x14ac:dyDescent="0.3">
      <c r="A640" s="29" t="s">
        <v>1127</v>
      </c>
      <c r="B640" s="15"/>
      <c r="C640" s="16" t="e">
        <f>IF([2]!Artículos4[[#This Row],[Proveedor (código)]]="","",VLOOKUP([2]!Artículos4[[#This Row],[Proveedor (código)]],[2]Proveedores!A:B,2,FALSE))</f>
        <v>#REF!</v>
      </c>
      <c r="D640" s="29" t="s">
        <v>651</v>
      </c>
      <c r="E640" s="29" t="s">
        <v>586</v>
      </c>
      <c r="F640" s="51"/>
      <c r="G640" s="14"/>
      <c r="H640" s="14"/>
      <c r="I640" s="14">
        <v>2</v>
      </c>
      <c r="J640" s="16">
        <f>SUMIFS(Entradas!G:G,Entradas!E:E,Artículos[[#This Row],[Código]])</f>
        <v>0</v>
      </c>
      <c r="K640" s="16">
        <f>SUMIFS(Salidas!G:G,Salidas!E:E,Artículos[[#This Row],[Código]])</f>
        <v>0</v>
      </c>
      <c r="L640" s="16">
        <f>Artículos[[#This Row],[Existencias iniciales]]+Artículos[[#This Row],[Entradas]]-Artículos[[#This Row],[Salidas]]</f>
        <v>2</v>
      </c>
      <c r="M640" s="16"/>
      <c r="N640" s="16"/>
    </row>
    <row r="641" spans="1:14" ht="14.4" hidden="1" customHeight="1" x14ac:dyDescent="0.3">
      <c r="A641" s="29" t="s">
        <v>1128</v>
      </c>
      <c r="B641" s="15"/>
      <c r="C641" s="16" t="e">
        <f>IF([2]!Artículos4[[#This Row],[Proveedor (código)]]="","",VLOOKUP([2]!Artículos4[[#This Row],[Proveedor (código)]],[2]Proveedores!A:B,2,FALSE))</f>
        <v>#REF!</v>
      </c>
      <c r="D641" s="29" t="s">
        <v>652</v>
      </c>
      <c r="E641" s="29" t="s">
        <v>586</v>
      </c>
      <c r="F641" s="51"/>
      <c r="G641" s="14"/>
      <c r="H641" s="14"/>
      <c r="I641" s="14">
        <v>45</v>
      </c>
      <c r="J641" s="16">
        <f>SUMIFS(Entradas!G:G,Entradas!E:E,Artículos[[#This Row],[Código]])</f>
        <v>0</v>
      </c>
      <c r="K641" s="16">
        <f>SUMIFS(Salidas!G:G,Salidas!E:E,Artículos[[#This Row],[Código]])</f>
        <v>0</v>
      </c>
      <c r="L641" s="16">
        <f>Artículos[[#This Row],[Existencias iniciales]]+Artículos[[#This Row],[Entradas]]-Artículos[[#This Row],[Salidas]]</f>
        <v>45</v>
      </c>
      <c r="M641" s="16"/>
      <c r="N641" s="16"/>
    </row>
    <row r="642" spans="1:14" ht="14.4" hidden="1" customHeight="1" x14ac:dyDescent="0.3">
      <c r="A642" s="29" t="s">
        <v>1129</v>
      </c>
      <c r="B642" s="15"/>
      <c r="C642" s="16" t="e">
        <f>IF([2]!Artículos4[[#This Row],[Proveedor (código)]]="","",VLOOKUP([2]!Artículos4[[#This Row],[Proveedor (código)]],[2]Proveedores!A:B,2,FALSE))</f>
        <v>#REF!</v>
      </c>
      <c r="D642" s="29" t="s">
        <v>653</v>
      </c>
      <c r="E642" s="29" t="s">
        <v>586</v>
      </c>
      <c r="F642" s="51"/>
      <c r="G642" s="14"/>
      <c r="H642" s="14"/>
      <c r="I642" s="14"/>
      <c r="J642" s="16">
        <f>SUMIFS(Entradas!G:G,Entradas!E:E,Artículos[[#This Row],[Código]])</f>
        <v>0</v>
      </c>
      <c r="K642" s="16">
        <f>SUMIFS(Salidas!G:G,Salidas!E:E,Artículos[[#This Row],[Código]])</f>
        <v>0</v>
      </c>
      <c r="L642" s="16">
        <f>Artículos[[#This Row],[Existencias iniciales]]+Artículos[[#This Row],[Entradas]]-Artículos[[#This Row],[Salidas]]</f>
        <v>0</v>
      </c>
      <c r="M642" s="16"/>
      <c r="N642" s="16"/>
    </row>
    <row r="643" spans="1:14" ht="14.4" hidden="1" customHeight="1" x14ac:dyDescent="0.3">
      <c r="A643" s="29" t="s">
        <v>1130</v>
      </c>
      <c r="B643" s="15"/>
      <c r="C643" s="16" t="e">
        <f>IF([2]!Artículos4[[#This Row],[Proveedor (código)]]="","",VLOOKUP([2]!Artículos4[[#This Row],[Proveedor (código)]],[2]Proveedores!A:B,2,FALSE))</f>
        <v>#REF!</v>
      </c>
      <c r="D643" s="29" t="s">
        <v>654</v>
      </c>
      <c r="E643" s="29" t="s">
        <v>586</v>
      </c>
      <c r="F643" s="51"/>
      <c r="G643" s="14"/>
      <c r="H643" s="14"/>
      <c r="I643" s="14"/>
      <c r="J643" s="16">
        <f>SUMIFS(Entradas!G:G,Entradas!E:E,Artículos[[#This Row],[Código]])</f>
        <v>0</v>
      </c>
      <c r="K643" s="16">
        <f>SUMIFS(Salidas!G:G,Salidas!E:E,Artículos[[#This Row],[Código]])</f>
        <v>0</v>
      </c>
      <c r="L643" s="16">
        <f>Artículos[[#This Row],[Existencias iniciales]]+Artículos[[#This Row],[Entradas]]-Artículos[[#This Row],[Salidas]]</f>
        <v>0</v>
      </c>
      <c r="M643" s="16"/>
      <c r="N643" s="16"/>
    </row>
    <row r="644" spans="1:14" ht="14.4" hidden="1" customHeight="1" x14ac:dyDescent="0.3">
      <c r="A644" s="29" t="s">
        <v>1131</v>
      </c>
      <c r="B644" s="15"/>
      <c r="C644" s="16" t="e">
        <f>IF([2]!Artículos4[[#This Row],[Proveedor (código)]]="","",VLOOKUP([2]!Artículos4[[#This Row],[Proveedor (código)]],[2]Proveedores!A:B,2,FALSE))</f>
        <v>#REF!</v>
      </c>
      <c r="D644" s="29" t="s">
        <v>655</v>
      </c>
      <c r="E644" s="29" t="s">
        <v>586</v>
      </c>
      <c r="F644" s="51"/>
      <c r="G644" s="14"/>
      <c r="H644" s="14"/>
      <c r="I644" s="14"/>
      <c r="J644" s="16">
        <f>SUMIFS(Entradas!G:G,Entradas!E:E,Artículos[[#This Row],[Código]])</f>
        <v>0</v>
      </c>
      <c r="K644" s="16">
        <f>SUMIFS(Salidas!G:G,Salidas!E:E,Artículos[[#This Row],[Código]])</f>
        <v>0</v>
      </c>
      <c r="L644" s="16">
        <f>Artículos[[#This Row],[Existencias iniciales]]+Artículos[[#This Row],[Entradas]]-Artículos[[#This Row],[Salidas]]</f>
        <v>0</v>
      </c>
      <c r="M644" s="16"/>
      <c r="N644" s="16"/>
    </row>
    <row r="645" spans="1:14" ht="14.4" hidden="1" customHeight="1" x14ac:dyDescent="0.3">
      <c r="A645" s="29" t="s">
        <v>1132</v>
      </c>
      <c r="B645" s="15"/>
      <c r="C645" s="16" t="e">
        <f>IF([2]!Artículos4[[#This Row],[Proveedor (código)]]="","",VLOOKUP([2]!Artículos4[[#This Row],[Proveedor (código)]],[2]Proveedores!A:B,2,FALSE))</f>
        <v>#REF!</v>
      </c>
      <c r="D645" s="29" t="s">
        <v>656</v>
      </c>
      <c r="E645" s="29" t="s">
        <v>586</v>
      </c>
      <c r="F645" s="51"/>
      <c r="G645" s="14"/>
      <c r="H645" s="14"/>
      <c r="I645" s="14"/>
      <c r="J645" s="16">
        <f>SUMIFS(Entradas!G:G,Entradas!E:E,Artículos[[#This Row],[Código]])</f>
        <v>0</v>
      </c>
      <c r="K645" s="16">
        <f>SUMIFS(Salidas!G:G,Salidas!E:E,Artículos[[#This Row],[Código]])</f>
        <v>0</v>
      </c>
      <c r="L645" s="16">
        <f>Artículos[[#This Row],[Existencias iniciales]]+Artículos[[#This Row],[Entradas]]-Artículos[[#This Row],[Salidas]]</f>
        <v>0</v>
      </c>
      <c r="M645" s="16"/>
      <c r="N645" s="16"/>
    </row>
    <row r="646" spans="1:14" ht="14.4" hidden="1" customHeight="1" x14ac:dyDescent="0.3">
      <c r="A646" s="29" t="s">
        <v>1133</v>
      </c>
      <c r="B646" s="15"/>
      <c r="C646" s="16" t="e">
        <f>IF([2]!Artículos4[[#This Row],[Proveedor (código)]]="","",VLOOKUP([2]!Artículos4[[#This Row],[Proveedor (código)]],[2]Proveedores!A:B,2,FALSE))</f>
        <v>#REF!</v>
      </c>
      <c r="D646" s="29" t="s">
        <v>657</v>
      </c>
      <c r="E646" s="29" t="s">
        <v>586</v>
      </c>
      <c r="F646" s="51"/>
      <c r="G646" s="14"/>
      <c r="H646" s="14"/>
      <c r="I646" s="14"/>
      <c r="J646" s="16">
        <f>SUMIFS(Entradas!G:G,Entradas!E:E,Artículos[[#This Row],[Código]])</f>
        <v>0</v>
      </c>
      <c r="K646" s="16">
        <f>SUMIFS(Salidas!G:G,Salidas!E:E,Artículos[[#This Row],[Código]])</f>
        <v>0</v>
      </c>
      <c r="L646" s="16">
        <f>Artículos[[#This Row],[Existencias iniciales]]+Artículos[[#This Row],[Entradas]]-Artículos[[#This Row],[Salidas]]</f>
        <v>0</v>
      </c>
      <c r="M646" s="16"/>
      <c r="N646" s="16"/>
    </row>
    <row r="647" spans="1:14" ht="14.4" hidden="1" customHeight="1" x14ac:dyDescent="0.3">
      <c r="A647" s="29" t="s">
        <v>1134</v>
      </c>
      <c r="B647" s="15"/>
      <c r="C647" s="16" t="e">
        <f>IF([2]!Artículos4[[#This Row],[Proveedor (código)]]="","",VLOOKUP([2]!Artículos4[[#This Row],[Proveedor (código)]],[2]Proveedores!A:B,2,FALSE))</f>
        <v>#REF!</v>
      </c>
      <c r="D647" s="29" t="s">
        <v>658</v>
      </c>
      <c r="E647" s="29" t="s">
        <v>586</v>
      </c>
      <c r="F647" s="51"/>
      <c r="G647" s="14"/>
      <c r="H647" s="14"/>
      <c r="I647" s="14"/>
      <c r="J647" s="16">
        <f>SUMIFS(Entradas!G:G,Entradas!E:E,Artículos[[#This Row],[Código]])</f>
        <v>0</v>
      </c>
      <c r="K647" s="16">
        <f>SUMIFS(Salidas!G:G,Salidas!E:E,Artículos[[#This Row],[Código]])</f>
        <v>0</v>
      </c>
      <c r="L647" s="16">
        <f>Artículos[[#This Row],[Existencias iniciales]]+Artículos[[#This Row],[Entradas]]-Artículos[[#This Row],[Salidas]]</f>
        <v>0</v>
      </c>
      <c r="M647" s="16"/>
      <c r="N647" s="16"/>
    </row>
    <row r="648" spans="1:14" ht="14.4" hidden="1" customHeight="1" x14ac:dyDescent="0.3">
      <c r="A648" s="29" t="s">
        <v>1135</v>
      </c>
      <c r="B648" s="15"/>
      <c r="C648" s="16" t="e">
        <f>IF([2]!Artículos4[[#This Row],[Proveedor (código)]]="","",VLOOKUP([2]!Artículos4[[#This Row],[Proveedor (código)]],[2]Proveedores!A:B,2,FALSE))</f>
        <v>#REF!</v>
      </c>
      <c r="D648" s="29" t="s">
        <v>659</v>
      </c>
      <c r="E648" s="29" t="s">
        <v>586</v>
      </c>
      <c r="F648" s="51"/>
      <c r="G648" s="14"/>
      <c r="H648" s="14"/>
      <c r="I648" s="14"/>
      <c r="J648" s="16">
        <f>SUMIFS(Entradas!G:G,Entradas!E:E,Artículos[[#This Row],[Código]])</f>
        <v>0</v>
      </c>
      <c r="K648" s="16">
        <f>SUMIFS(Salidas!G:G,Salidas!E:E,Artículos[[#This Row],[Código]])</f>
        <v>0</v>
      </c>
      <c r="L648" s="16">
        <f>Artículos[[#This Row],[Existencias iniciales]]+Artículos[[#This Row],[Entradas]]-Artículos[[#This Row],[Salidas]]</f>
        <v>0</v>
      </c>
      <c r="M648" s="16"/>
      <c r="N648" s="16"/>
    </row>
    <row r="649" spans="1:14" ht="14.4" hidden="1" customHeight="1" x14ac:dyDescent="0.3">
      <c r="A649" s="29" t="s">
        <v>1136</v>
      </c>
      <c r="B649" s="15"/>
      <c r="C649" s="16" t="e">
        <f>IF([2]!Artículos4[[#This Row],[Proveedor (código)]]="","",VLOOKUP([2]!Artículos4[[#This Row],[Proveedor (código)]],[2]Proveedores!A:B,2,FALSE))</f>
        <v>#REF!</v>
      </c>
      <c r="D649" s="29" t="s">
        <v>660</v>
      </c>
      <c r="E649" s="29" t="s">
        <v>586</v>
      </c>
      <c r="F649" s="51"/>
      <c r="G649" s="14"/>
      <c r="H649" s="14"/>
      <c r="I649" s="14"/>
      <c r="J649" s="16">
        <f>SUMIFS(Entradas!G:G,Entradas!E:E,Artículos[[#This Row],[Código]])</f>
        <v>0</v>
      </c>
      <c r="K649" s="16">
        <f>SUMIFS(Salidas!G:G,Salidas!E:E,Artículos[[#This Row],[Código]])</f>
        <v>0</v>
      </c>
      <c r="L649" s="16">
        <f>Artículos[[#This Row],[Existencias iniciales]]+Artículos[[#This Row],[Entradas]]-Artículos[[#This Row],[Salidas]]</f>
        <v>0</v>
      </c>
      <c r="M649" s="16"/>
      <c r="N649" s="16"/>
    </row>
    <row r="650" spans="1:14" ht="14.4" hidden="1" customHeight="1" x14ac:dyDescent="0.3">
      <c r="A650" s="29" t="s">
        <v>1137</v>
      </c>
      <c r="B650" s="15"/>
      <c r="C650" s="16" t="e">
        <f>IF([2]!Artículos4[[#This Row],[Proveedor (código)]]="","",VLOOKUP([2]!Artículos4[[#This Row],[Proveedor (código)]],[2]Proveedores!A:B,2,FALSE))</f>
        <v>#REF!</v>
      </c>
      <c r="D650" s="29" t="s">
        <v>661</v>
      </c>
      <c r="E650" s="29" t="s">
        <v>586</v>
      </c>
      <c r="F650" s="51"/>
      <c r="G650" s="14"/>
      <c r="H650" s="14"/>
      <c r="I650" s="14"/>
      <c r="J650" s="16">
        <f>SUMIFS(Entradas!G:G,Entradas!E:E,Artículos[[#This Row],[Código]])</f>
        <v>0</v>
      </c>
      <c r="K650" s="16">
        <f>SUMIFS(Salidas!G:G,Salidas!E:E,Artículos[[#This Row],[Código]])</f>
        <v>0</v>
      </c>
      <c r="L650" s="16">
        <f>Artículos[[#This Row],[Existencias iniciales]]+Artículos[[#This Row],[Entradas]]-Artículos[[#This Row],[Salidas]]</f>
        <v>0</v>
      </c>
      <c r="M650" s="16"/>
      <c r="N650" s="16"/>
    </row>
    <row r="651" spans="1:14" ht="14.4" hidden="1" customHeight="1" x14ac:dyDescent="0.3">
      <c r="A651" s="29" t="s">
        <v>1138</v>
      </c>
      <c r="B651" s="15"/>
      <c r="C651" s="16" t="e">
        <f>IF([2]!Artículos4[[#This Row],[Proveedor (código)]]="","",VLOOKUP([2]!Artículos4[[#This Row],[Proveedor (código)]],[2]Proveedores!A:B,2,FALSE))</f>
        <v>#REF!</v>
      </c>
      <c r="D651" s="29" t="s">
        <v>662</v>
      </c>
      <c r="E651" s="29" t="s">
        <v>586</v>
      </c>
      <c r="F651" s="51"/>
      <c r="G651" s="14"/>
      <c r="H651" s="14"/>
      <c r="I651" s="14"/>
      <c r="J651" s="16">
        <f>SUMIFS(Entradas!G:G,Entradas!E:E,Artículos[[#This Row],[Código]])</f>
        <v>0</v>
      </c>
      <c r="K651" s="16">
        <f>SUMIFS(Salidas!G:G,Salidas!E:E,Artículos[[#This Row],[Código]])</f>
        <v>0</v>
      </c>
      <c r="L651" s="16">
        <f>Artículos[[#This Row],[Existencias iniciales]]+Artículos[[#This Row],[Entradas]]-Artículos[[#This Row],[Salidas]]</f>
        <v>0</v>
      </c>
      <c r="M651" s="16"/>
      <c r="N651" s="16"/>
    </row>
    <row r="652" spans="1:14" ht="14.4" hidden="1" customHeight="1" x14ac:dyDescent="0.3">
      <c r="A652" s="29" t="s">
        <v>1139</v>
      </c>
      <c r="B652" s="15"/>
      <c r="C652" s="16" t="e">
        <f>IF([2]!Artículos4[[#This Row],[Proveedor (código)]]="","",VLOOKUP([2]!Artículos4[[#This Row],[Proveedor (código)]],[2]Proveedores!A:B,2,FALSE))</f>
        <v>#REF!</v>
      </c>
      <c r="D652" s="29" t="s">
        <v>663</v>
      </c>
      <c r="E652" s="29" t="s">
        <v>586</v>
      </c>
      <c r="F652" s="51">
        <v>1</v>
      </c>
      <c r="G652" s="14"/>
      <c r="H652" s="14"/>
      <c r="I652" s="14"/>
      <c r="J652" s="16">
        <f>SUMIFS(Entradas!G:G,Entradas!E:E,Artículos[[#This Row],[Código]])</f>
        <v>1</v>
      </c>
      <c r="K652" s="16">
        <f>SUMIFS(Salidas!G:G,Salidas!E:E,Artículos[[#This Row],[Código]])</f>
        <v>0</v>
      </c>
      <c r="L652" s="16">
        <f>Artículos[[#This Row],[Existencias iniciales]]+Artículos[[#This Row],[Entradas]]-Artículos[[#This Row],[Salidas]]</f>
        <v>1</v>
      </c>
      <c r="M652" s="16"/>
      <c r="N652" s="16"/>
    </row>
    <row r="653" spans="1:14" hidden="1" x14ac:dyDescent="0.3">
      <c r="A653" s="29" t="s">
        <v>1140</v>
      </c>
      <c r="B653" s="15"/>
      <c r="C653" s="16" t="e">
        <f>IF([2]!Artículos4[[#This Row],[Proveedor (código)]]="","",VLOOKUP([2]!Artículos4[[#This Row],[Proveedor (código)]],[2]Proveedores!A:B,2,FALSE))</f>
        <v>#REF!</v>
      </c>
      <c r="D653" s="29" t="s">
        <v>664</v>
      </c>
      <c r="E653" s="29" t="s">
        <v>586</v>
      </c>
      <c r="F653" s="51"/>
      <c r="G653" s="14"/>
      <c r="H653" s="14"/>
      <c r="I653" s="14"/>
      <c r="J653" s="16">
        <f>SUMIFS(Entradas!G:G,Entradas!E:E,Artículos[[#This Row],[Código]])</f>
        <v>0</v>
      </c>
      <c r="K653" s="16">
        <f>SUMIFS(Salidas!G:G,Salidas!E:E,Artículos[[#This Row],[Código]])</f>
        <v>0</v>
      </c>
      <c r="L653" s="16">
        <f>Artículos[[#This Row],[Existencias iniciales]]+Artículos[[#This Row],[Entradas]]-Artículos[[#This Row],[Salidas]]</f>
        <v>0</v>
      </c>
      <c r="M653" s="16"/>
      <c r="N653" s="16"/>
    </row>
    <row r="654" spans="1:14" hidden="1" x14ac:dyDescent="0.3">
      <c r="A654" s="29" t="s">
        <v>1141</v>
      </c>
      <c r="B654" s="15"/>
      <c r="C654" s="16" t="e">
        <f>IF([2]!Artículos4[[#This Row],[Proveedor (código)]]="","",VLOOKUP([2]!Artículos4[[#This Row],[Proveedor (código)]],[2]Proveedores!A:B,2,FALSE))</f>
        <v>#REF!</v>
      </c>
      <c r="D654" s="29" t="s">
        <v>665</v>
      </c>
      <c r="E654" s="29" t="s">
        <v>586</v>
      </c>
      <c r="F654" s="51"/>
      <c r="G654" s="14"/>
      <c r="H654" s="14"/>
      <c r="I654" s="14"/>
      <c r="J654" s="16">
        <f>SUMIFS(Entradas!G:G,Entradas!E:E,Artículos[[#This Row],[Código]])</f>
        <v>0</v>
      </c>
      <c r="K654" s="16">
        <f>SUMIFS(Salidas!G:G,Salidas!E:E,Artículos[[#This Row],[Código]])</f>
        <v>0</v>
      </c>
      <c r="L654" s="16">
        <f>Artículos[[#This Row],[Existencias iniciales]]+Artículos[[#This Row],[Entradas]]-Artículos[[#This Row],[Salidas]]</f>
        <v>0</v>
      </c>
      <c r="M654" s="16"/>
      <c r="N654" s="16"/>
    </row>
    <row r="655" spans="1:14" hidden="1" x14ac:dyDescent="0.3">
      <c r="A655" s="29" t="s">
        <v>1142</v>
      </c>
      <c r="B655" s="15"/>
      <c r="C655" s="16" t="e">
        <f>IF([2]!Artículos4[[#This Row],[Proveedor (código)]]="","",VLOOKUP([2]!Artículos4[[#This Row],[Proveedor (código)]],[2]Proveedores!A:B,2,FALSE))</f>
        <v>#REF!</v>
      </c>
      <c r="D655" s="29" t="s">
        <v>666</v>
      </c>
      <c r="E655" s="29" t="s">
        <v>586</v>
      </c>
      <c r="F655" s="51"/>
      <c r="G655" s="14"/>
      <c r="H655" s="14"/>
      <c r="I655" s="14"/>
      <c r="J655" s="16">
        <f>SUMIFS(Entradas!G:G,Entradas!E:E,Artículos[[#This Row],[Código]])</f>
        <v>0</v>
      </c>
      <c r="K655" s="16">
        <f>SUMIFS(Salidas!G:G,Salidas!E:E,Artículos[[#This Row],[Código]])</f>
        <v>0</v>
      </c>
      <c r="L655" s="16">
        <f>Artículos[[#This Row],[Existencias iniciales]]+Artículos[[#This Row],[Entradas]]-Artículos[[#This Row],[Salidas]]</f>
        <v>0</v>
      </c>
      <c r="M655" s="16"/>
      <c r="N655" s="16"/>
    </row>
    <row r="656" spans="1:14" hidden="1" x14ac:dyDescent="0.3">
      <c r="A656" s="29" t="s">
        <v>1143</v>
      </c>
      <c r="B656" s="15"/>
      <c r="C656" s="16" t="e">
        <f>IF([2]!Artículos4[[#This Row],[Proveedor (código)]]="","",VLOOKUP([2]!Artículos4[[#This Row],[Proveedor (código)]],[2]Proveedores!A:B,2,FALSE))</f>
        <v>#REF!</v>
      </c>
      <c r="D656" s="29" t="s">
        <v>667</v>
      </c>
      <c r="E656" s="29" t="s">
        <v>586</v>
      </c>
      <c r="F656" s="51"/>
      <c r="G656" s="14"/>
      <c r="H656" s="14"/>
      <c r="I656" s="14"/>
      <c r="J656" s="16">
        <f>SUMIFS(Entradas!G:G,Entradas!E:E,Artículos[[#This Row],[Código]])</f>
        <v>0</v>
      </c>
      <c r="K656" s="16">
        <f>SUMIFS(Salidas!G:G,Salidas!E:E,Artículos[[#This Row],[Código]])</f>
        <v>0</v>
      </c>
      <c r="L656" s="16">
        <f>Artículos[[#This Row],[Existencias iniciales]]+Artículos[[#This Row],[Entradas]]-Artículos[[#This Row],[Salidas]]</f>
        <v>0</v>
      </c>
      <c r="M656" s="16"/>
      <c r="N656" s="16"/>
    </row>
    <row r="657" spans="1:14" hidden="1" x14ac:dyDescent="0.3">
      <c r="A657" s="29" t="s">
        <v>1144</v>
      </c>
      <c r="B657" s="15"/>
      <c r="C657" s="16" t="e">
        <f>IF([2]!Artículos4[[#This Row],[Proveedor (código)]]="","",VLOOKUP([2]!Artículos4[[#This Row],[Proveedor (código)]],[2]Proveedores!A:B,2,FALSE))</f>
        <v>#REF!</v>
      </c>
      <c r="D657" s="29" t="s">
        <v>667</v>
      </c>
      <c r="E657" s="29" t="s">
        <v>586</v>
      </c>
      <c r="F657" s="51"/>
      <c r="G657" s="14"/>
      <c r="H657" s="14"/>
      <c r="I657" s="14"/>
      <c r="J657" s="16">
        <f>SUMIFS(Entradas!G:G,Entradas!E:E,Artículos[[#This Row],[Código]])</f>
        <v>0</v>
      </c>
      <c r="K657" s="16">
        <f>SUMIFS(Salidas!G:G,Salidas!E:E,Artículos[[#This Row],[Código]])</f>
        <v>0</v>
      </c>
      <c r="L657" s="16">
        <f>Artículos[[#This Row],[Existencias iniciales]]+Artículos[[#This Row],[Entradas]]-Artículos[[#This Row],[Salidas]]</f>
        <v>0</v>
      </c>
      <c r="M657" s="16"/>
      <c r="N657" s="16"/>
    </row>
    <row r="658" spans="1:14" hidden="1" x14ac:dyDescent="0.3">
      <c r="A658" s="29" t="s">
        <v>1145</v>
      </c>
      <c r="B658" s="15"/>
      <c r="C658" s="16" t="e">
        <f>IF([2]!Artículos4[[#This Row],[Proveedor (código)]]="","",VLOOKUP([2]!Artículos4[[#This Row],[Proveedor (código)]],[2]Proveedores!A:B,2,FALSE))</f>
        <v>#REF!</v>
      </c>
      <c r="D658" s="29" t="s">
        <v>667</v>
      </c>
      <c r="E658" s="29" t="s">
        <v>586</v>
      </c>
      <c r="F658" s="51"/>
      <c r="G658" s="14"/>
      <c r="H658" s="14"/>
      <c r="I658" s="14"/>
      <c r="J658" s="16">
        <f>SUMIFS(Entradas!G:G,Entradas!E:E,Artículos[[#This Row],[Código]])</f>
        <v>0</v>
      </c>
      <c r="K658" s="16">
        <f>SUMIFS(Salidas!G:G,Salidas!E:E,Artículos[[#This Row],[Código]])</f>
        <v>0</v>
      </c>
      <c r="L658" s="16">
        <f>Artículos[[#This Row],[Existencias iniciales]]+Artículos[[#This Row],[Entradas]]-Artículos[[#This Row],[Salidas]]</f>
        <v>0</v>
      </c>
      <c r="M658" s="16"/>
      <c r="N658" s="16"/>
    </row>
    <row r="659" spans="1:14" hidden="1" x14ac:dyDescent="0.3">
      <c r="A659" s="29" t="s">
        <v>1146</v>
      </c>
      <c r="B659" s="15"/>
      <c r="C659" s="16" t="e">
        <f>IF([2]!Artículos4[[#This Row],[Proveedor (código)]]="","",VLOOKUP([2]!Artículos4[[#This Row],[Proveedor (código)]],[2]Proveedores!A:B,2,FALSE))</f>
        <v>#REF!</v>
      </c>
      <c r="D659" s="29" t="s">
        <v>668</v>
      </c>
      <c r="E659" s="29" t="s">
        <v>586</v>
      </c>
      <c r="F659" s="51"/>
      <c r="G659" s="14"/>
      <c r="H659" s="14"/>
      <c r="I659" s="14"/>
      <c r="J659" s="16">
        <f>SUMIFS(Entradas!G:G,Entradas!E:E,Artículos[[#This Row],[Código]])</f>
        <v>0</v>
      </c>
      <c r="K659" s="16">
        <f>SUMIFS(Salidas!G:G,Salidas!E:E,Artículos[[#This Row],[Código]])</f>
        <v>0</v>
      </c>
      <c r="L659" s="16">
        <f>Artículos[[#This Row],[Existencias iniciales]]+Artículos[[#This Row],[Entradas]]-Artículos[[#This Row],[Salidas]]</f>
        <v>0</v>
      </c>
      <c r="M659" s="16"/>
      <c r="N659" s="16"/>
    </row>
    <row r="660" spans="1:14" hidden="1" x14ac:dyDescent="0.3">
      <c r="A660" s="29" t="s">
        <v>1147</v>
      </c>
      <c r="B660" s="15"/>
      <c r="C660" s="16" t="e">
        <f>IF([2]!Artículos4[[#This Row],[Proveedor (código)]]="","",VLOOKUP([2]!Artículos4[[#This Row],[Proveedor (código)]],[2]Proveedores!A:B,2,FALSE))</f>
        <v>#REF!</v>
      </c>
      <c r="D660" s="29" t="s">
        <v>669</v>
      </c>
      <c r="E660" s="29" t="s">
        <v>586</v>
      </c>
      <c r="F660" s="51"/>
      <c r="G660" s="14"/>
      <c r="H660" s="14"/>
      <c r="I660" s="14"/>
      <c r="J660" s="16">
        <f>SUMIFS(Entradas!G:G,Entradas!E:E,Artículos[[#This Row],[Código]])</f>
        <v>0</v>
      </c>
      <c r="K660" s="16">
        <f>SUMIFS(Salidas!G:G,Salidas!E:E,Artículos[[#This Row],[Código]])</f>
        <v>0</v>
      </c>
      <c r="L660" s="16">
        <f>Artículos[[#This Row],[Existencias iniciales]]+Artículos[[#This Row],[Entradas]]-Artículos[[#This Row],[Salidas]]</f>
        <v>0</v>
      </c>
      <c r="M660" s="16"/>
      <c r="N660" s="16"/>
    </row>
    <row r="661" spans="1:14" hidden="1" x14ac:dyDescent="0.3">
      <c r="A661" s="29" t="s">
        <v>1148</v>
      </c>
      <c r="B661" s="15"/>
      <c r="C661" s="16" t="e">
        <f>IF([2]!Artículos4[[#This Row],[Proveedor (código)]]="","",VLOOKUP([2]!Artículos4[[#This Row],[Proveedor (código)]],[2]Proveedores!A:B,2,FALSE))</f>
        <v>#REF!</v>
      </c>
      <c r="D661" s="29" t="s">
        <v>670</v>
      </c>
      <c r="E661" s="29" t="s">
        <v>586</v>
      </c>
      <c r="F661" s="51"/>
      <c r="G661" s="14"/>
      <c r="H661" s="14"/>
      <c r="I661" s="14"/>
      <c r="J661" s="16">
        <f>SUMIFS(Entradas!G:G,Entradas!E:E,Artículos[[#This Row],[Código]])</f>
        <v>0</v>
      </c>
      <c r="K661" s="16">
        <f>SUMIFS(Salidas!G:G,Salidas!E:E,Artículos[[#This Row],[Código]])</f>
        <v>0</v>
      </c>
      <c r="L661" s="16">
        <f>Artículos[[#This Row],[Existencias iniciales]]+Artículos[[#This Row],[Entradas]]-Artículos[[#This Row],[Salidas]]</f>
        <v>0</v>
      </c>
      <c r="M661" s="16"/>
      <c r="N661" s="16"/>
    </row>
    <row r="662" spans="1:14" hidden="1" x14ac:dyDescent="0.3">
      <c r="A662" s="29" t="s">
        <v>1149</v>
      </c>
      <c r="B662" s="15"/>
      <c r="C662" s="16" t="e">
        <f>IF([2]!Artículos4[[#This Row],[Proveedor (código)]]="","",VLOOKUP([2]!Artículos4[[#This Row],[Proveedor (código)]],[2]Proveedores!A:B,2,FALSE))</f>
        <v>#REF!</v>
      </c>
      <c r="D662" s="29" t="s">
        <v>671</v>
      </c>
      <c r="E662" s="29" t="s">
        <v>586</v>
      </c>
      <c r="F662" s="51"/>
      <c r="G662" s="14"/>
      <c r="H662" s="14"/>
      <c r="I662" s="14"/>
      <c r="J662" s="16">
        <f>SUMIFS(Entradas!G:G,Entradas!E:E,Artículos[[#This Row],[Código]])</f>
        <v>0</v>
      </c>
      <c r="K662" s="16">
        <f>SUMIFS(Salidas!G:G,Salidas!E:E,Artículos[[#This Row],[Código]])</f>
        <v>0</v>
      </c>
      <c r="L662" s="16">
        <f>Artículos[[#This Row],[Existencias iniciales]]+Artículos[[#This Row],[Entradas]]-Artículos[[#This Row],[Salidas]]</f>
        <v>0</v>
      </c>
      <c r="M662" s="16"/>
      <c r="N662" s="16"/>
    </row>
    <row r="663" spans="1:14" hidden="1" x14ac:dyDescent="0.3">
      <c r="A663" s="29" t="s">
        <v>1150</v>
      </c>
      <c r="B663" s="15"/>
      <c r="C663" s="16" t="e">
        <f>IF([2]!Artículos4[[#This Row],[Proveedor (código)]]="","",VLOOKUP([2]!Artículos4[[#This Row],[Proveedor (código)]],[2]Proveedores!A:B,2,FALSE))</f>
        <v>#REF!</v>
      </c>
      <c r="D663" s="29" t="s">
        <v>672</v>
      </c>
      <c r="E663" s="29" t="s">
        <v>586</v>
      </c>
      <c r="F663" s="51"/>
      <c r="G663" s="14"/>
      <c r="H663" s="14"/>
      <c r="I663" s="14"/>
      <c r="J663" s="16">
        <f>SUMIFS(Entradas!G:G,Entradas!E:E,Artículos[[#This Row],[Código]])</f>
        <v>0</v>
      </c>
      <c r="K663" s="16">
        <f>SUMIFS(Salidas!G:G,Salidas!E:E,Artículos[[#This Row],[Código]])</f>
        <v>0</v>
      </c>
      <c r="L663" s="16">
        <f>Artículos[[#This Row],[Existencias iniciales]]+Artículos[[#This Row],[Entradas]]-Artículos[[#This Row],[Salidas]]</f>
        <v>0</v>
      </c>
      <c r="M663" s="16"/>
      <c r="N663" s="16"/>
    </row>
    <row r="664" spans="1:14" hidden="1" x14ac:dyDescent="0.3">
      <c r="A664" s="29" t="s">
        <v>1151</v>
      </c>
      <c r="B664" s="15"/>
      <c r="C664" s="16" t="e">
        <f>IF([2]!Artículos4[[#This Row],[Proveedor (código)]]="","",VLOOKUP([2]!Artículos4[[#This Row],[Proveedor (código)]],[2]Proveedores!A:B,2,FALSE))</f>
        <v>#REF!</v>
      </c>
      <c r="D664" s="29" t="s">
        <v>673</v>
      </c>
      <c r="E664" s="29" t="s">
        <v>586</v>
      </c>
      <c r="F664" s="51"/>
      <c r="G664" s="14"/>
      <c r="H664" s="14"/>
      <c r="I664" s="14"/>
      <c r="J664" s="16">
        <f>SUMIFS(Entradas!G:G,Entradas!E:E,Artículos[[#This Row],[Código]])</f>
        <v>0</v>
      </c>
      <c r="K664" s="16">
        <f>SUMIFS(Salidas!G:G,Salidas!E:E,Artículos[[#This Row],[Código]])</f>
        <v>0</v>
      </c>
      <c r="L664" s="16">
        <f>Artículos[[#This Row],[Existencias iniciales]]+Artículos[[#This Row],[Entradas]]-Artículos[[#This Row],[Salidas]]</f>
        <v>0</v>
      </c>
      <c r="M664" s="16"/>
      <c r="N664" s="16"/>
    </row>
    <row r="665" spans="1:14" hidden="1" x14ac:dyDescent="0.3">
      <c r="A665" s="29" t="s">
        <v>1152</v>
      </c>
      <c r="B665" s="15"/>
      <c r="C665" s="16" t="e">
        <f>IF([2]!Artículos4[[#This Row],[Proveedor (código)]]="","",VLOOKUP([2]!Artículos4[[#This Row],[Proveedor (código)]],[2]Proveedores!A:B,2,FALSE))</f>
        <v>#REF!</v>
      </c>
      <c r="D665" s="29" t="s">
        <v>674</v>
      </c>
      <c r="E665" s="29" t="s">
        <v>586</v>
      </c>
      <c r="F665" s="51"/>
      <c r="G665" s="14"/>
      <c r="H665" s="14"/>
      <c r="I665" s="14"/>
      <c r="J665" s="16">
        <f>SUMIFS(Entradas!G:G,Entradas!E:E,Artículos[[#This Row],[Código]])</f>
        <v>0</v>
      </c>
      <c r="K665" s="16">
        <f>SUMIFS(Salidas!G:G,Salidas!E:E,Artículos[[#This Row],[Código]])</f>
        <v>0</v>
      </c>
      <c r="L665" s="16">
        <f>Artículos[[#This Row],[Existencias iniciales]]+Artículos[[#This Row],[Entradas]]-Artículos[[#This Row],[Salidas]]</f>
        <v>0</v>
      </c>
      <c r="M665" s="16"/>
      <c r="N665" s="16"/>
    </row>
    <row r="666" spans="1:14" hidden="1" x14ac:dyDescent="0.3">
      <c r="A666" s="29" t="s">
        <v>1153</v>
      </c>
      <c r="B666" s="15"/>
      <c r="C666" s="16" t="e">
        <f>IF([2]!Artículos4[[#This Row],[Proveedor (código)]]="","",VLOOKUP([2]!Artículos4[[#This Row],[Proveedor (código)]],[2]Proveedores!A:B,2,FALSE))</f>
        <v>#REF!</v>
      </c>
      <c r="D666" s="29" t="s">
        <v>675</v>
      </c>
      <c r="E666" s="29" t="s">
        <v>586</v>
      </c>
      <c r="F666" s="51"/>
      <c r="G666" s="14"/>
      <c r="H666" s="14"/>
      <c r="I666" s="14"/>
      <c r="J666" s="16">
        <f>SUMIFS(Entradas!G:G,Entradas!E:E,Artículos[[#This Row],[Código]])</f>
        <v>0</v>
      </c>
      <c r="K666" s="16">
        <f>SUMIFS(Salidas!G:G,Salidas!E:E,Artículos[[#This Row],[Código]])</f>
        <v>0</v>
      </c>
      <c r="L666" s="16">
        <f>Artículos[[#This Row],[Existencias iniciales]]+Artículos[[#This Row],[Entradas]]-Artículos[[#This Row],[Salidas]]</f>
        <v>0</v>
      </c>
      <c r="M666" s="16"/>
      <c r="N666" s="16"/>
    </row>
    <row r="667" spans="1:14" hidden="1" x14ac:dyDescent="0.3">
      <c r="A667" s="29" t="s">
        <v>1154</v>
      </c>
      <c r="B667" s="15"/>
      <c r="C667" s="16" t="e">
        <f>IF([2]!Artículos4[[#This Row],[Proveedor (código)]]="","",VLOOKUP([2]!Artículos4[[#This Row],[Proveedor (código)]],[2]Proveedores!A:B,2,FALSE))</f>
        <v>#REF!</v>
      </c>
      <c r="D667" s="29" t="s">
        <v>676</v>
      </c>
      <c r="E667" s="29" t="s">
        <v>586</v>
      </c>
      <c r="F667" s="51"/>
      <c r="G667" s="14"/>
      <c r="H667" s="14"/>
      <c r="I667" s="14"/>
      <c r="J667" s="16">
        <f>SUMIFS(Entradas!G:G,Entradas!E:E,Artículos[[#This Row],[Código]])</f>
        <v>0</v>
      </c>
      <c r="K667" s="16">
        <f>SUMIFS(Salidas!G:G,Salidas!E:E,Artículos[[#This Row],[Código]])</f>
        <v>0</v>
      </c>
      <c r="L667" s="16">
        <f>Artículos[[#This Row],[Existencias iniciales]]+Artículos[[#This Row],[Entradas]]-Artículos[[#This Row],[Salidas]]</f>
        <v>0</v>
      </c>
      <c r="M667" s="16"/>
      <c r="N667" s="16"/>
    </row>
    <row r="668" spans="1:14" hidden="1" x14ac:dyDescent="0.3">
      <c r="A668" s="29" t="s">
        <v>1155</v>
      </c>
      <c r="B668" s="15"/>
      <c r="C668" s="16" t="e">
        <f>IF([2]!Artículos4[[#This Row],[Proveedor (código)]]="","",VLOOKUP([2]!Artículos4[[#This Row],[Proveedor (código)]],[2]Proveedores!A:B,2,FALSE))</f>
        <v>#REF!</v>
      </c>
      <c r="D668" s="29" t="s">
        <v>677</v>
      </c>
      <c r="E668" s="29" t="s">
        <v>586</v>
      </c>
      <c r="F668" s="51"/>
      <c r="G668" s="14"/>
      <c r="H668" s="14"/>
      <c r="I668" s="14"/>
      <c r="J668" s="16">
        <f>SUMIFS(Entradas!G:G,Entradas!E:E,Artículos[[#This Row],[Código]])</f>
        <v>0</v>
      </c>
      <c r="K668" s="16">
        <f>SUMIFS(Salidas!G:G,Salidas!E:E,Artículos[[#This Row],[Código]])</f>
        <v>0</v>
      </c>
      <c r="L668" s="16">
        <f>Artículos[[#This Row],[Existencias iniciales]]+Artículos[[#This Row],[Entradas]]-Artículos[[#This Row],[Salidas]]</f>
        <v>0</v>
      </c>
      <c r="M668" s="16"/>
      <c r="N668" s="16"/>
    </row>
    <row r="669" spans="1:14" hidden="1" x14ac:dyDescent="0.3">
      <c r="A669" s="29" t="s">
        <v>1156</v>
      </c>
      <c r="B669" s="15"/>
      <c r="C669" s="16" t="e">
        <f>IF([2]!Artículos4[[#This Row],[Proveedor (código)]]="","",VLOOKUP([2]!Artículos4[[#This Row],[Proveedor (código)]],[2]Proveedores!A:B,2,FALSE))</f>
        <v>#REF!</v>
      </c>
      <c r="D669" s="29" t="s">
        <v>678</v>
      </c>
      <c r="E669" s="29" t="s">
        <v>586</v>
      </c>
      <c r="F669" s="51"/>
      <c r="G669" s="14"/>
      <c r="H669" s="14"/>
      <c r="I669" s="14"/>
      <c r="J669" s="16">
        <f>SUMIFS(Entradas!G:G,Entradas!E:E,Artículos[[#This Row],[Código]])</f>
        <v>0</v>
      </c>
      <c r="K669" s="16">
        <f>SUMIFS(Salidas!G:G,Salidas!E:E,Artículos[[#This Row],[Código]])</f>
        <v>0</v>
      </c>
      <c r="L669" s="16">
        <f>Artículos[[#This Row],[Existencias iniciales]]+Artículos[[#This Row],[Entradas]]-Artículos[[#This Row],[Salidas]]</f>
        <v>0</v>
      </c>
      <c r="M669" s="16"/>
      <c r="N669" s="16"/>
    </row>
    <row r="670" spans="1:14" hidden="1" x14ac:dyDescent="0.3">
      <c r="A670" s="29" t="s">
        <v>1157</v>
      </c>
      <c r="B670" s="15"/>
      <c r="C670" s="16" t="e">
        <f>IF([2]!Artículos4[[#This Row],[Proveedor (código)]]="","",VLOOKUP([2]!Artículos4[[#This Row],[Proveedor (código)]],[2]Proveedores!A:B,2,FALSE))</f>
        <v>#REF!</v>
      </c>
      <c r="D670" s="29" t="s">
        <v>679</v>
      </c>
      <c r="E670" s="29" t="s">
        <v>586</v>
      </c>
      <c r="F670" s="51"/>
      <c r="G670" s="14"/>
      <c r="H670" s="14"/>
      <c r="I670" s="14"/>
      <c r="J670" s="16">
        <f>SUMIFS(Entradas!G:G,Entradas!E:E,Artículos[[#This Row],[Código]])</f>
        <v>0</v>
      </c>
      <c r="K670" s="16">
        <f>SUMIFS(Salidas!G:G,Salidas!E:E,Artículos[[#This Row],[Código]])</f>
        <v>0</v>
      </c>
      <c r="L670" s="16">
        <f>Artículos[[#This Row],[Existencias iniciales]]+Artículos[[#This Row],[Entradas]]-Artículos[[#This Row],[Salidas]]</f>
        <v>0</v>
      </c>
      <c r="M670" s="16"/>
      <c r="N670" s="16"/>
    </row>
    <row r="671" spans="1:14" hidden="1" x14ac:dyDescent="0.3">
      <c r="A671" s="29" t="s">
        <v>1158</v>
      </c>
      <c r="B671" s="15"/>
      <c r="C671" s="16" t="e">
        <f>IF([2]!Artículos4[[#This Row],[Proveedor (código)]]="","",VLOOKUP([2]!Artículos4[[#This Row],[Proveedor (código)]],[2]Proveedores!A:B,2,FALSE))</f>
        <v>#REF!</v>
      </c>
      <c r="D671" s="29" t="s">
        <v>680</v>
      </c>
      <c r="E671" s="29" t="s">
        <v>586</v>
      </c>
      <c r="F671" s="51"/>
      <c r="G671" s="14"/>
      <c r="H671" s="14"/>
      <c r="I671" s="14"/>
      <c r="J671" s="16">
        <f>SUMIFS(Entradas!G:G,Entradas!E:E,Artículos[[#This Row],[Código]])</f>
        <v>0</v>
      </c>
      <c r="K671" s="16">
        <f>SUMIFS(Salidas!G:G,Salidas!E:E,Artículos[[#This Row],[Código]])</f>
        <v>0</v>
      </c>
      <c r="L671" s="16">
        <f>Artículos[[#This Row],[Existencias iniciales]]+Artículos[[#This Row],[Entradas]]-Artículos[[#This Row],[Salidas]]</f>
        <v>0</v>
      </c>
      <c r="M671" s="16"/>
      <c r="N671" s="16"/>
    </row>
    <row r="672" spans="1:14" hidden="1" x14ac:dyDescent="0.3">
      <c r="A672" s="29" t="s">
        <v>1159</v>
      </c>
      <c r="B672" s="15"/>
      <c r="C672" s="16" t="e">
        <f>IF([2]!Artículos4[[#This Row],[Proveedor (código)]]="","",VLOOKUP([2]!Artículos4[[#This Row],[Proveedor (código)]],[2]Proveedores!A:B,2,FALSE))</f>
        <v>#REF!</v>
      </c>
      <c r="D672" s="29" t="s">
        <v>659</v>
      </c>
      <c r="E672" s="29" t="s">
        <v>586</v>
      </c>
      <c r="F672" s="51"/>
      <c r="G672" s="14"/>
      <c r="H672" s="14"/>
      <c r="I672" s="14"/>
      <c r="J672" s="16">
        <f>SUMIFS(Entradas!G:G,Entradas!E:E,Artículos[[#This Row],[Código]])</f>
        <v>0</v>
      </c>
      <c r="K672" s="16">
        <f>SUMIFS(Salidas!G:G,Salidas!E:E,Artículos[[#This Row],[Código]])</f>
        <v>0</v>
      </c>
      <c r="L672" s="16">
        <f>Artículos[[#This Row],[Existencias iniciales]]+Artículos[[#This Row],[Entradas]]-Artículos[[#This Row],[Salidas]]</f>
        <v>0</v>
      </c>
      <c r="M672" s="16"/>
      <c r="N672" s="16"/>
    </row>
    <row r="673" spans="1:14" hidden="1" x14ac:dyDescent="0.3">
      <c r="A673" s="29" t="s">
        <v>1160</v>
      </c>
      <c r="B673" s="15"/>
      <c r="C673" s="16" t="e">
        <f>IF([2]!Artículos4[[#This Row],[Proveedor (código)]]="","",VLOOKUP([2]!Artículos4[[#This Row],[Proveedor (código)]],[2]Proveedores!A:B,2,FALSE))</f>
        <v>#REF!</v>
      </c>
      <c r="D673" s="29" t="s">
        <v>681</v>
      </c>
      <c r="E673" s="29" t="s">
        <v>586</v>
      </c>
      <c r="F673" s="51"/>
      <c r="G673" s="14"/>
      <c r="H673" s="14"/>
      <c r="I673" s="14"/>
      <c r="J673" s="16">
        <f>SUMIFS(Entradas!G:G,Entradas!E:E,Artículos[[#This Row],[Código]])</f>
        <v>0</v>
      </c>
      <c r="K673" s="16">
        <f>SUMIFS(Salidas!G:G,Salidas!E:E,Artículos[[#This Row],[Código]])</f>
        <v>0</v>
      </c>
      <c r="L673" s="16">
        <f>Artículos[[#This Row],[Existencias iniciales]]+Artículos[[#This Row],[Entradas]]-Artículos[[#This Row],[Salidas]]</f>
        <v>0</v>
      </c>
      <c r="M673" s="16"/>
      <c r="N673" s="16"/>
    </row>
    <row r="674" spans="1:14" hidden="1" x14ac:dyDescent="0.3">
      <c r="A674" s="29" t="s">
        <v>1161</v>
      </c>
      <c r="B674" s="15"/>
      <c r="C674" s="16" t="e">
        <f>IF([2]!Artículos4[[#This Row],[Proveedor (código)]]="","",VLOOKUP([2]!Artículos4[[#This Row],[Proveedor (código)]],[2]Proveedores!A:B,2,FALSE))</f>
        <v>#REF!</v>
      </c>
      <c r="D674" s="29" t="s">
        <v>682</v>
      </c>
      <c r="E674" s="29" t="s">
        <v>586</v>
      </c>
      <c r="F674" s="51"/>
      <c r="G674" s="14"/>
      <c r="H674" s="14"/>
      <c r="I674" s="14"/>
      <c r="J674" s="16">
        <f>SUMIFS(Entradas!G:G,Entradas!E:E,Artículos[[#This Row],[Código]])</f>
        <v>0</v>
      </c>
      <c r="K674" s="16">
        <f>SUMIFS(Salidas!G:G,Salidas!E:E,Artículos[[#This Row],[Código]])</f>
        <v>0</v>
      </c>
      <c r="L674" s="16">
        <f>Artículos[[#This Row],[Existencias iniciales]]+Artículos[[#This Row],[Entradas]]-Artículos[[#This Row],[Salidas]]</f>
        <v>0</v>
      </c>
      <c r="M674" s="16"/>
      <c r="N674" s="16"/>
    </row>
    <row r="675" spans="1:14" hidden="1" x14ac:dyDescent="0.3">
      <c r="A675" s="29" t="s">
        <v>1162</v>
      </c>
      <c r="B675" s="15"/>
      <c r="C675" s="16" t="e">
        <f>IF([2]!Artículos4[[#This Row],[Proveedor (código)]]="","",VLOOKUP([2]!Artículos4[[#This Row],[Proveedor (código)]],[2]Proveedores!A:B,2,FALSE))</f>
        <v>#REF!</v>
      </c>
      <c r="D675" s="29" t="s">
        <v>683</v>
      </c>
      <c r="E675" s="29" t="s">
        <v>586</v>
      </c>
      <c r="F675" s="51"/>
      <c r="G675" s="14"/>
      <c r="H675" s="14"/>
      <c r="I675" s="14"/>
      <c r="J675" s="16">
        <f>SUMIFS(Entradas!G:G,Entradas!E:E,Artículos[[#This Row],[Código]])</f>
        <v>0</v>
      </c>
      <c r="K675" s="16">
        <f>SUMIFS(Salidas!G:G,Salidas!E:E,Artículos[[#This Row],[Código]])</f>
        <v>0</v>
      </c>
      <c r="L675" s="16">
        <f>Artículos[[#This Row],[Existencias iniciales]]+Artículos[[#This Row],[Entradas]]-Artículos[[#This Row],[Salidas]]</f>
        <v>0</v>
      </c>
      <c r="M675" s="16"/>
      <c r="N675" s="16"/>
    </row>
    <row r="676" spans="1:14" hidden="1" x14ac:dyDescent="0.3">
      <c r="A676" s="29" t="s">
        <v>1163</v>
      </c>
      <c r="B676" s="15"/>
      <c r="C676" s="16" t="e">
        <f>IF([2]!Artículos4[[#This Row],[Proveedor (código)]]="","",VLOOKUP([2]!Artículos4[[#This Row],[Proveedor (código)]],[2]Proveedores!A:B,2,FALSE))</f>
        <v>#REF!</v>
      </c>
      <c r="D676" s="29" t="s">
        <v>686</v>
      </c>
      <c r="E676" s="29" t="s">
        <v>586</v>
      </c>
      <c r="F676" s="51"/>
      <c r="G676" s="14"/>
      <c r="H676" s="14"/>
      <c r="I676" s="14">
        <v>2</v>
      </c>
      <c r="J676" s="16">
        <f>SUMIFS(Entradas!G:G,Entradas!E:E,Artículos[[#This Row],[Código]])</f>
        <v>0</v>
      </c>
      <c r="K676" s="16">
        <f>SUMIFS(Salidas!G:G,Salidas!E:E,Artículos[[#This Row],[Código]])</f>
        <v>0</v>
      </c>
      <c r="L676" s="16">
        <f>Artículos[[#This Row],[Existencias iniciales]]+Artículos[[#This Row],[Entradas]]-Artículos[[#This Row],[Salidas]]</f>
        <v>2</v>
      </c>
      <c r="M676" s="16"/>
      <c r="N676" s="16"/>
    </row>
    <row r="677" spans="1:14" hidden="1" x14ac:dyDescent="0.3">
      <c r="A677" s="29" t="s">
        <v>1333</v>
      </c>
      <c r="B677" s="15"/>
      <c r="C677" s="16" t="e">
        <f>IF([2]!Artículos4[[#This Row],[Proveedor (código)]]="","",VLOOKUP([2]!Artículos4[[#This Row],[Proveedor (código)]],[2]Proveedores!A:B,2,FALSE))</f>
        <v>#REF!</v>
      </c>
      <c r="D677" s="29"/>
      <c r="E677" s="29"/>
      <c r="F677" s="51"/>
      <c r="G677" s="14"/>
      <c r="H677" s="14"/>
      <c r="I677" s="14"/>
      <c r="J677" s="16">
        <f>SUMIFS(Entradas!G:G,Entradas!E:E,Artículos[[#This Row],[Código]])</f>
        <v>0</v>
      </c>
      <c r="K677" s="16">
        <f>SUMIFS(Salidas!G:G,Salidas!E:E,Artículos[[#This Row],[Código]])</f>
        <v>0</v>
      </c>
      <c r="L677" s="16">
        <f>Artículos[[#This Row],[Existencias iniciales]]+Artículos[[#This Row],[Entradas]]-Artículos[[#This Row],[Salidas]]</f>
        <v>0</v>
      </c>
      <c r="M677" s="16"/>
      <c r="N677" s="16"/>
    </row>
    <row r="678" spans="1:14" hidden="1" x14ac:dyDescent="0.3">
      <c r="A678" s="29" t="s">
        <v>1334</v>
      </c>
      <c r="B678" s="15"/>
      <c r="C678" s="16" t="e">
        <f>IF([2]!Artículos4[[#This Row],[Proveedor (código)]]="","",VLOOKUP([2]!Artículos4[[#This Row],[Proveedor (código)]],[2]Proveedores!A:B,2,FALSE))</f>
        <v>#REF!</v>
      </c>
      <c r="D678" s="29"/>
      <c r="E678" s="29"/>
      <c r="F678" s="51"/>
      <c r="G678" s="14"/>
      <c r="H678" s="14"/>
      <c r="I678" s="14"/>
      <c r="J678" s="16">
        <f>SUMIFS(Entradas!G:G,Entradas!E:E,Artículos[[#This Row],[Código]])</f>
        <v>0</v>
      </c>
      <c r="K678" s="16">
        <f>SUMIFS(Salidas!G:G,Salidas!E:E,Artículos[[#This Row],[Código]])</f>
        <v>0</v>
      </c>
      <c r="L678" s="16">
        <f>Artículos[[#This Row],[Existencias iniciales]]+Artículos[[#This Row],[Entradas]]-Artículos[[#This Row],[Salidas]]</f>
        <v>0</v>
      </c>
      <c r="M678" s="16"/>
      <c r="N678" s="16"/>
    </row>
    <row r="679" spans="1:14" hidden="1" x14ac:dyDescent="0.3">
      <c r="A679" s="29" t="s">
        <v>1335</v>
      </c>
      <c r="B679" s="15"/>
      <c r="C679" s="16" t="e">
        <f>IF([2]!Artículos4[[#This Row],[Proveedor (código)]]="","",VLOOKUP([2]!Artículos4[[#This Row],[Proveedor (código)]],[2]Proveedores!A:B,2,FALSE))</f>
        <v>#REF!</v>
      </c>
      <c r="D679" s="29"/>
      <c r="E679" s="29"/>
      <c r="F679" s="51"/>
      <c r="G679" s="14"/>
      <c r="H679" s="14"/>
      <c r="I679" s="14"/>
      <c r="J679" s="16">
        <f>SUMIFS(Entradas!G:G,Entradas!E:E,Artículos[[#This Row],[Código]])</f>
        <v>0</v>
      </c>
      <c r="K679" s="16">
        <f>SUMIFS(Salidas!G:G,Salidas!E:E,Artículos[[#This Row],[Código]])</f>
        <v>0</v>
      </c>
      <c r="L679" s="16">
        <f>Artículos[[#This Row],[Existencias iniciales]]+Artículos[[#This Row],[Entradas]]-Artículos[[#This Row],[Salidas]]</f>
        <v>0</v>
      </c>
      <c r="M679" s="16"/>
      <c r="N679" s="16"/>
    </row>
    <row r="680" spans="1:14" hidden="1" x14ac:dyDescent="0.3">
      <c r="A680" s="29" t="s">
        <v>1336</v>
      </c>
      <c r="B680" s="15"/>
      <c r="C680" s="16" t="e">
        <f>IF([2]!Artículos4[[#This Row],[Proveedor (código)]]="","",VLOOKUP([2]!Artículos4[[#This Row],[Proveedor (código)]],[2]Proveedores!A:B,2,FALSE))</f>
        <v>#REF!</v>
      </c>
      <c r="D680" s="29"/>
      <c r="E680" s="29"/>
      <c r="F680" s="51"/>
      <c r="G680" s="14"/>
      <c r="H680" s="14"/>
      <c r="I680" s="14"/>
      <c r="J680" s="16">
        <f>SUMIFS(Entradas!G:G,Entradas!E:E,Artículos[[#This Row],[Código]])</f>
        <v>0</v>
      </c>
      <c r="K680" s="16">
        <f>SUMIFS(Salidas!G:G,Salidas!E:E,Artículos[[#This Row],[Código]])</f>
        <v>0</v>
      </c>
      <c r="L680" s="16">
        <f>Artículos[[#This Row],[Existencias iniciales]]+Artículos[[#This Row],[Entradas]]-Artículos[[#This Row],[Salidas]]</f>
        <v>0</v>
      </c>
      <c r="M680" s="16"/>
      <c r="N680" s="16"/>
    </row>
    <row r="681" spans="1:14" hidden="1" x14ac:dyDescent="0.3">
      <c r="A681" s="29" t="s">
        <v>1337</v>
      </c>
      <c r="B681" s="15"/>
      <c r="C681" s="16" t="e">
        <f>IF([2]!Artículos4[[#This Row],[Proveedor (código)]]="","",VLOOKUP([2]!Artículos4[[#This Row],[Proveedor (código)]],[2]Proveedores!A:B,2,FALSE))</f>
        <v>#REF!</v>
      </c>
      <c r="D681" s="29"/>
      <c r="E681" s="29"/>
      <c r="F681" s="51"/>
      <c r="G681" s="14"/>
      <c r="H681" s="14"/>
      <c r="I681" s="14"/>
      <c r="J681" s="16">
        <f>SUMIFS(Entradas!G:G,Entradas!E:E,Artículos[[#This Row],[Código]])</f>
        <v>0</v>
      </c>
      <c r="K681" s="16">
        <f>SUMIFS(Salidas!G:G,Salidas!E:E,Artículos[[#This Row],[Código]])</f>
        <v>0</v>
      </c>
      <c r="L681" s="16">
        <f>Artículos[[#This Row],[Existencias iniciales]]+Artículos[[#This Row],[Entradas]]-Artículos[[#This Row],[Salidas]]</f>
        <v>0</v>
      </c>
      <c r="M681" s="16"/>
      <c r="N681" s="16"/>
    </row>
    <row r="682" spans="1:14" hidden="1" x14ac:dyDescent="0.3">
      <c r="A682" s="29" t="s">
        <v>1361</v>
      </c>
      <c r="B682" s="15"/>
      <c r="C682" s="16"/>
      <c r="D682" t="s">
        <v>690</v>
      </c>
      <c r="E682" s="16" t="s">
        <v>689</v>
      </c>
      <c r="F682" s="51"/>
      <c r="G682" s="14"/>
      <c r="H682" s="14"/>
      <c r="I682" s="14"/>
      <c r="J682" s="16">
        <f>SUMIFS(Entradas!G:G,Entradas!E:E,Artículos[[#This Row],[Código]])</f>
        <v>6</v>
      </c>
      <c r="K682" s="16">
        <f>SUMIFS(Salidas!G:G,Salidas!E:E,Artículos[[#This Row],[Código]])</f>
        <v>0</v>
      </c>
      <c r="L682" s="16">
        <f>Artículos[[#This Row],[Existencias iniciales]]+Artículos[[#This Row],[Entradas]]-Artículos[[#This Row],[Salidas]]</f>
        <v>6</v>
      </c>
      <c r="M682" s="16"/>
      <c r="N682" s="16"/>
    </row>
    <row r="683" spans="1:14" hidden="1" x14ac:dyDescent="0.3">
      <c r="A683" s="31" t="s">
        <v>914</v>
      </c>
      <c r="B683" s="15"/>
      <c r="C683" s="16" t="e">
        <f>IF([2]!Artículos4[[#This Row],[Proveedor (código)]]="","",VLOOKUP([2]!Artículos4[[#This Row],[Proveedor (código)]],[2]Proveedores!A:B,2,FALSE))</f>
        <v>#REF!</v>
      </c>
      <c r="D683" s="26" t="s">
        <v>688</v>
      </c>
      <c r="E683" s="16" t="s">
        <v>689</v>
      </c>
      <c r="F683" s="51">
        <v>8.5399999999999991</v>
      </c>
      <c r="G683" s="14"/>
      <c r="H683" s="14"/>
      <c r="I683" s="14"/>
      <c r="J683" s="16">
        <f>SUMIFS(Entradas!G:G,Entradas!E:E,Artículos[[#This Row],[Código]])</f>
        <v>21</v>
      </c>
      <c r="K683" s="16">
        <f>SUMIFS(Salidas!G:G,Salidas!E:E,Artículos[[#This Row],[Código]])</f>
        <v>0</v>
      </c>
      <c r="L683" s="16">
        <f>Artículos[[#This Row],[Existencias iniciales]]+Artículos[[#This Row],[Entradas]]-Artículos[[#This Row],[Salidas]]</f>
        <v>21</v>
      </c>
      <c r="M683" s="16"/>
      <c r="N683" s="16"/>
    </row>
    <row r="684" spans="1:14" hidden="1" x14ac:dyDescent="0.3">
      <c r="A684" s="31" t="s">
        <v>915</v>
      </c>
      <c r="B684" s="15"/>
      <c r="C684" s="16" t="e">
        <f>IF([2]!Artículos4[[#This Row],[Proveedor (código)]]="","",VLOOKUP([2]!Artículos4[[#This Row],[Proveedor (código)]],[2]Proveedores!A:B,2,FALSE))</f>
        <v>#REF!</v>
      </c>
      <c r="D684" s="26" t="s">
        <v>687</v>
      </c>
      <c r="E684" s="16" t="s">
        <v>689</v>
      </c>
      <c r="F684" s="51">
        <v>12.23</v>
      </c>
      <c r="G684" s="14"/>
      <c r="H684" s="14"/>
      <c r="I684" s="14"/>
      <c r="J684" s="16">
        <f>SUMIFS(Entradas!G:G,Entradas!E:E,Artículos[[#This Row],[Código]])</f>
        <v>7</v>
      </c>
      <c r="K684" s="16">
        <f>SUMIFS(Salidas!G:G,Salidas!E:E,Artículos[[#This Row],[Código]])</f>
        <v>0</v>
      </c>
      <c r="L684" s="16">
        <f>Artículos[[#This Row],[Existencias iniciales]]+Artículos[[#This Row],[Entradas]]-Artículos[[#This Row],[Salidas]]</f>
        <v>7</v>
      </c>
      <c r="M684" s="16"/>
      <c r="N684" s="16"/>
    </row>
    <row r="685" spans="1:14" hidden="1" x14ac:dyDescent="0.3">
      <c r="A685" s="31" t="s">
        <v>1358</v>
      </c>
      <c r="B685" s="15"/>
      <c r="C685" s="16" t="e">
        <f>IF([2]!Artículos4[[#This Row],[Proveedor (código)]]="","",VLOOKUP([2]!Artículos4[[#This Row],[Proveedor (código)]],[2]Proveedores!A:B,2,FALSE))</f>
        <v>#REF!</v>
      </c>
      <c r="D685" s="26" t="s">
        <v>691</v>
      </c>
      <c r="E685" s="16"/>
      <c r="F685" s="51">
        <v>5.04</v>
      </c>
      <c r="G685" s="14"/>
      <c r="H685" s="14"/>
      <c r="I685" s="14"/>
      <c r="J685" s="16">
        <f>SUMIFS(Entradas!G:G,Entradas!E:E,Artículos[[#This Row],[Código]])</f>
        <v>34</v>
      </c>
      <c r="K685" s="16">
        <f>SUMIFS(Salidas!G:G,Salidas!E:E,Artículos[[#This Row],[Código]])</f>
        <v>0</v>
      </c>
      <c r="L685" s="16">
        <f>Artículos[[#This Row],[Existencias iniciales]]+Artículos[[#This Row],[Entradas]]-Artículos[[#This Row],[Salidas]]</f>
        <v>34</v>
      </c>
      <c r="M685" s="16"/>
      <c r="N685" s="16"/>
    </row>
    <row r="686" spans="1:14" hidden="1" x14ac:dyDescent="0.3">
      <c r="A686" s="31" t="s">
        <v>1359</v>
      </c>
      <c r="B686" s="15"/>
      <c r="C686" s="16" t="e">
        <f>IF([2]!Artículos4[[#This Row],[Proveedor (código)]]="","",VLOOKUP([2]!Artículos4[[#This Row],[Proveedor (código)]],[2]Proveedores!A:B,2,FALSE))</f>
        <v>#REF!</v>
      </c>
      <c r="D686" s="26" t="s">
        <v>690</v>
      </c>
      <c r="E686" s="16"/>
      <c r="F686" s="51">
        <v>9</v>
      </c>
      <c r="G686" s="14"/>
      <c r="H686" s="14"/>
      <c r="I686" s="14"/>
      <c r="J686" s="16">
        <f>SUMIFS(Entradas!G:G,Entradas!E:E,Artículos[[#This Row],[Código]])</f>
        <v>0</v>
      </c>
      <c r="K686" s="16">
        <f>SUMIFS(Salidas!G:G,Salidas!E:E,Artículos[[#This Row],[Código]])</f>
        <v>0</v>
      </c>
      <c r="L686" s="16">
        <f>Artículos[[#This Row],[Existencias iniciales]]+Artículos[[#This Row],[Entradas]]-Artículos[[#This Row],[Salidas]]</f>
        <v>0</v>
      </c>
      <c r="M686" s="16"/>
      <c r="N686" s="16"/>
    </row>
    <row r="687" spans="1:14" hidden="1" x14ac:dyDescent="0.3">
      <c r="A687" s="31" t="s">
        <v>1366</v>
      </c>
      <c r="B687" s="15"/>
      <c r="C687" s="16" t="e">
        <f>IF([2]!Artículos4[[#This Row],[Proveedor (código)]]="","",VLOOKUP([2]!Artículos4[[#This Row],[Proveedor (código)]],[2]Proveedores!A:B,2,FALSE))</f>
        <v>#REF!</v>
      </c>
      <c r="D687" s="29" t="s">
        <v>1363</v>
      </c>
      <c r="E687" s="29"/>
      <c r="F687" s="51">
        <v>1</v>
      </c>
      <c r="G687" s="14"/>
      <c r="H687" s="14"/>
      <c r="I687" s="14"/>
      <c r="J687" s="16">
        <f>SUMIFS(Entradas!G:G,Entradas!E:E,Artículos[[#This Row],[Código]])</f>
        <v>2</v>
      </c>
      <c r="K687" s="16">
        <f>SUMIFS(Salidas!G:G,Salidas!E:E,Artículos[[#This Row],[Código]])</f>
        <v>0</v>
      </c>
      <c r="L687" s="16">
        <f>Artículos[[#This Row],[Existencias iniciales]]+Artículos[[#This Row],[Entradas]]-Artículos[[#This Row],[Salidas]]</f>
        <v>2</v>
      </c>
      <c r="M687" s="16"/>
      <c r="N687" s="16"/>
    </row>
    <row r="688" spans="1:14" hidden="1" x14ac:dyDescent="0.3">
      <c r="A688" s="31" t="s">
        <v>1367</v>
      </c>
      <c r="B688" s="15">
        <v>0</v>
      </c>
      <c r="C688" s="16"/>
      <c r="D688" s="29" t="s">
        <v>1364</v>
      </c>
      <c r="E688" s="29"/>
      <c r="F688" s="51">
        <v>2</v>
      </c>
      <c r="G688" s="14"/>
      <c r="H688" s="14"/>
      <c r="I688" s="14"/>
      <c r="J688" s="16"/>
      <c r="K688" s="16"/>
      <c r="L688" s="16"/>
      <c r="M688" s="16"/>
      <c r="N688" s="16"/>
    </row>
    <row r="689" spans="1:14" hidden="1" x14ac:dyDescent="0.3">
      <c r="A689" s="31" t="s">
        <v>1368</v>
      </c>
      <c r="B689" s="15"/>
      <c r="C689" s="16" t="e">
        <f>IF([2]!Artículos4[[#This Row],[Proveedor (código)]]="","",VLOOKUP([2]!Artículos4[[#This Row],[Proveedor (código)]],[2]Proveedores!A:B,2,FALSE))</f>
        <v>#REF!</v>
      </c>
      <c r="D689" s="26" t="s">
        <v>1365</v>
      </c>
      <c r="E689" s="16"/>
      <c r="F689" s="51">
        <v>1</v>
      </c>
      <c r="G689" s="14"/>
      <c r="H689" s="14"/>
      <c r="I689" s="14"/>
      <c r="J689" s="16">
        <f>SUMIFS(Entradas!G:G,Entradas!E:E,Artículos[[#This Row],[Código]])</f>
        <v>1</v>
      </c>
      <c r="K689" s="16">
        <f>SUMIFS(Salidas!G:G,Salidas!E:E,Artículos[[#This Row],[Código]])</f>
        <v>0</v>
      </c>
      <c r="L689" s="16">
        <f>Artículos[[#This Row],[Existencias iniciales]]+Artículos[[#This Row],[Entradas]]-Artículos[[#This Row],[Salidas]]</f>
        <v>1</v>
      </c>
      <c r="M689" s="16"/>
      <c r="N689" s="16"/>
    </row>
    <row r="690" spans="1:14" hidden="1" x14ac:dyDescent="0.3">
      <c r="A690" s="31" t="s">
        <v>1369</v>
      </c>
      <c r="B690" s="15"/>
      <c r="C690" s="16"/>
      <c r="D690" s="26"/>
      <c r="E690" s="16"/>
      <c r="F690" s="51"/>
      <c r="G690" s="14"/>
      <c r="H690" s="14"/>
      <c r="I690" s="14"/>
      <c r="J690" s="16">
        <f>SUMIFS(Entradas!G:G,Entradas!E:E,Artículos[[#This Row],[Código]])</f>
        <v>0</v>
      </c>
      <c r="K690" s="16">
        <f>SUMIFS(Salidas!G:G,Salidas!E:E,Artículos[[#This Row],[Código]])</f>
        <v>0</v>
      </c>
      <c r="L690" s="16">
        <f>Artículos[[#This Row],[Existencias iniciales]]+Artículos[[#This Row],[Entradas]]-Artículos[[#This Row],[Salidas]]</f>
        <v>0</v>
      </c>
      <c r="M690" s="16"/>
      <c r="N690" s="16"/>
    </row>
    <row r="691" spans="1:14" hidden="1" x14ac:dyDescent="0.3">
      <c r="A691" s="31" t="s">
        <v>1370</v>
      </c>
      <c r="B691" s="15"/>
      <c r="C691" s="16"/>
      <c r="D691" s="26"/>
      <c r="E691" s="16"/>
      <c r="F691" s="51"/>
      <c r="G691" s="14"/>
      <c r="H691" s="14"/>
      <c r="I691" s="14"/>
      <c r="J691" s="16">
        <f>SUMIFS(Entradas!G:G,Entradas!E:E,Artículos[[#This Row],[Código]])</f>
        <v>0</v>
      </c>
      <c r="K691" s="16">
        <f>SUMIFS(Salidas!G:G,Salidas!E:E,Artículos[[#This Row],[Código]])</f>
        <v>0</v>
      </c>
      <c r="L691" s="16">
        <f>Artículos[[#This Row],[Existencias iniciales]]+Artículos[[#This Row],[Entradas]]-Artículos[[#This Row],[Salidas]]</f>
        <v>0</v>
      </c>
      <c r="M691" s="16"/>
      <c r="N691" s="16"/>
    </row>
    <row r="692" spans="1:14" hidden="1" x14ac:dyDescent="0.3">
      <c r="A692" s="31" t="s">
        <v>1371</v>
      </c>
      <c r="B692" s="15"/>
      <c r="C692" s="16"/>
      <c r="D692" s="26"/>
      <c r="E692" s="16"/>
      <c r="F692" s="51"/>
      <c r="G692" s="14"/>
      <c r="H692" s="14"/>
      <c r="I692" s="14"/>
      <c r="J692" s="16">
        <f>SUMIFS(Entradas!G:G,Entradas!E:E,Artículos[[#This Row],[Código]])</f>
        <v>0</v>
      </c>
      <c r="K692" s="16">
        <f>SUMIFS(Salidas!G:G,Salidas!E:E,Artículos[[#This Row],[Código]])</f>
        <v>0</v>
      </c>
      <c r="L692" s="16">
        <f>Artículos[[#This Row],[Existencias iniciales]]+Artículos[[#This Row],[Entradas]]-Artículos[[#This Row],[Salidas]]</f>
        <v>0</v>
      </c>
      <c r="M692" s="16"/>
      <c r="N692" s="16"/>
    </row>
    <row r="693" spans="1:14" hidden="1" x14ac:dyDescent="0.3">
      <c r="A693" s="31" t="s">
        <v>1372</v>
      </c>
      <c r="B693" s="15"/>
      <c r="C693" s="16"/>
      <c r="D693" s="26" t="s">
        <v>1373</v>
      </c>
      <c r="E693" s="16" t="s">
        <v>1377</v>
      </c>
      <c r="F693" s="51">
        <v>33.9</v>
      </c>
      <c r="G693" s="14"/>
      <c r="H693" s="14"/>
      <c r="I693" s="14"/>
      <c r="J693" s="16">
        <f>SUMIFS(Entradas!G:G,Entradas!E:E,Artículos[[#This Row],[Código]])</f>
        <v>0</v>
      </c>
      <c r="K693" s="16">
        <f>SUMIFS(Salidas!G:G,Salidas!E:E,Artículos[[#This Row],[Código]])</f>
        <v>0</v>
      </c>
      <c r="L693" s="16">
        <f>Artículos[[#This Row],[Existencias iniciales]]+Artículos[[#This Row],[Entradas]]-Artículos[[#This Row],[Salidas]]</f>
        <v>0</v>
      </c>
      <c r="M693" s="16"/>
      <c r="N693" s="16"/>
    </row>
    <row r="694" spans="1:14" hidden="1" x14ac:dyDescent="0.3">
      <c r="A694" s="31" t="s">
        <v>1375</v>
      </c>
      <c r="B694" s="15"/>
      <c r="C694" s="16"/>
      <c r="D694" s="26" t="s">
        <v>1374</v>
      </c>
      <c r="E694" s="16" t="s">
        <v>1377</v>
      </c>
      <c r="F694" s="51">
        <v>33.9</v>
      </c>
      <c r="G694" s="14"/>
      <c r="H694" s="14"/>
      <c r="I694" s="14"/>
      <c r="J694" s="16">
        <f>SUMIFS(Entradas!G:G,Entradas!E:E,Artículos[[#This Row],[Código]])</f>
        <v>3</v>
      </c>
      <c r="K694" s="16">
        <f>SUMIFS(Salidas!G:G,Salidas!E:E,Artículos[[#This Row],[Código]])</f>
        <v>0</v>
      </c>
      <c r="L694" s="16">
        <f>Artículos[[#This Row],[Existencias iniciales]]+Artículos[[#This Row],[Entradas]]-Artículos[[#This Row],[Salidas]]</f>
        <v>3</v>
      </c>
      <c r="M694" s="16"/>
      <c r="N694" s="16"/>
    </row>
    <row r="695" spans="1:14" hidden="1" x14ac:dyDescent="0.3">
      <c r="A695" s="31" t="s">
        <v>1378</v>
      </c>
      <c r="B695" s="15"/>
      <c r="C695" s="16"/>
      <c r="D695" s="26"/>
      <c r="E695" s="16" t="s">
        <v>1377</v>
      </c>
      <c r="F695" s="51"/>
      <c r="G695" s="14"/>
      <c r="H695" s="14"/>
      <c r="I695" s="14"/>
      <c r="J695" s="16">
        <f>SUMIFS(Entradas!G:G,Entradas!E:E,Artículos[[#This Row],[Código]])</f>
        <v>0</v>
      </c>
      <c r="K695" s="16">
        <f>SUMIFS(Salidas!G:G,Salidas!E:E,Artículos[[#This Row],[Código]])</f>
        <v>0</v>
      </c>
      <c r="L695" s="16">
        <f>Artículos[[#This Row],[Existencias iniciales]]+Artículos[[#This Row],[Entradas]]-Artículos[[#This Row],[Salidas]]</f>
        <v>0</v>
      </c>
      <c r="M695" s="16"/>
      <c r="N695" s="16"/>
    </row>
    <row r="696" spans="1:14" hidden="1" x14ac:dyDescent="0.3">
      <c r="A696" s="31" t="s">
        <v>1379</v>
      </c>
      <c r="B696" s="15"/>
      <c r="C696" s="16"/>
      <c r="D696" s="26"/>
      <c r="E696" s="16" t="s">
        <v>1377</v>
      </c>
      <c r="F696" s="51"/>
      <c r="G696" s="14"/>
      <c r="H696" s="14"/>
      <c r="I696" s="14"/>
      <c r="J696" s="16">
        <f>SUMIFS(Entradas!G:G,Entradas!E:E,Artículos[[#This Row],[Código]])</f>
        <v>0</v>
      </c>
      <c r="K696" s="16">
        <f>SUMIFS(Salidas!G:G,Salidas!E:E,Artículos[[#This Row],[Código]])</f>
        <v>0</v>
      </c>
      <c r="L696" s="16">
        <f>Artículos[[#This Row],[Existencias iniciales]]+Artículos[[#This Row],[Entradas]]-Artículos[[#This Row],[Salidas]]</f>
        <v>0</v>
      </c>
      <c r="M696" s="16"/>
      <c r="N696" s="16"/>
    </row>
    <row r="697" spans="1:14" hidden="1" x14ac:dyDescent="0.3">
      <c r="A697" s="31" t="s">
        <v>1380</v>
      </c>
      <c r="B697" s="15"/>
      <c r="C697" s="16"/>
      <c r="D697" s="26"/>
      <c r="E697" s="16" t="s">
        <v>1377</v>
      </c>
      <c r="F697" s="51"/>
      <c r="G697" s="14"/>
      <c r="H697" s="14"/>
      <c r="I697" s="14"/>
      <c r="J697" s="16">
        <f>SUMIFS(Entradas!G:G,Entradas!E:E,Artículos[[#This Row],[Código]])</f>
        <v>0</v>
      </c>
      <c r="K697" s="16">
        <f>SUMIFS(Salidas!G:G,Salidas!E:E,Artículos[[#This Row],[Código]])</f>
        <v>0</v>
      </c>
      <c r="L697" s="16">
        <f>Artículos[[#This Row],[Existencias iniciales]]+Artículos[[#This Row],[Entradas]]-Artículos[[#This Row],[Salidas]]</f>
        <v>0</v>
      </c>
      <c r="M697" s="16"/>
      <c r="N697" s="16"/>
    </row>
    <row r="698" spans="1:14" hidden="1" x14ac:dyDescent="0.3">
      <c r="A698" s="14" t="s">
        <v>1383</v>
      </c>
      <c r="B698" s="15"/>
      <c r="C698" s="16"/>
      <c r="D698" s="26" t="s">
        <v>1381</v>
      </c>
      <c r="E698" s="16" t="s">
        <v>1382</v>
      </c>
      <c r="F698" s="51">
        <v>1</v>
      </c>
      <c r="G698" s="14"/>
      <c r="H698" s="14"/>
      <c r="I698" s="14"/>
      <c r="J698" s="16">
        <f>SUMIFS(Entradas!G:G,Entradas!E:E,Artículos[[#This Row],[Código]])</f>
        <v>1</v>
      </c>
      <c r="K698" s="16">
        <f>SUMIFS(Salidas!G:G,Salidas!E:E,Artículos[[#This Row],[Código]])</f>
        <v>0</v>
      </c>
      <c r="L698" s="16">
        <f>Artículos[[#This Row],[Existencias iniciales]]+Artículos[[#This Row],[Entradas]]-Artículos[[#This Row],[Salidas]]</f>
        <v>1</v>
      </c>
      <c r="M698" s="16"/>
      <c r="N698" s="16"/>
    </row>
    <row r="699" spans="1:14" hidden="1" x14ac:dyDescent="0.3">
      <c r="A699" s="14"/>
      <c r="B699" s="15"/>
      <c r="C699" s="16"/>
      <c r="D699" s="26"/>
      <c r="E699" s="16"/>
      <c r="F699" s="51"/>
      <c r="G699" s="14"/>
      <c r="H699" s="14"/>
      <c r="I699" s="14"/>
      <c r="J699" s="16">
        <f>SUMIFS(Entradas!G:G,Entradas!E:E,Artículos[[#This Row],[Código]])</f>
        <v>0</v>
      </c>
      <c r="K699" s="16">
        <f>SUMIFS(Salidas!G:G,Salidas!E:E,Artículos[[#This Row],[Código]])</f>
        <v>0</v>
      </c>
      <c r="L699" s="16">
        <f>Artículos[[#This Row],[Existencias iniciales]]+Artículos[[#This Row],[Entradas]]-Artículos[[#This Row],[Salidas]]</f>
        <v>0</v>
      </c>
      <c r="M699" s="16"/>
      <c r="N699" s="16"/>
    </row>
    <row r="700" spans="1:14" hidden="1" x14ac:dyDescent="0.3">
      <c r="A700" s="14"/>
      <c r="B700" s="15"/>
      <c r="C700" s="16"/>
      <c r="D700" s="26"/>
      <c r="E700" s="16"/>
      <c r="F700" s="51"/>
      <c r="G700" s="14"/>
      <c r="H700" s="14"/>
      <c r="I700" s="14"/>
      <c r="J700" s="16">
        <f>SUMIFS(Entradas!G:G,Entradas!E:E,Artículos[[#This Row],[Código]])</f>
        <v>0</v>
      </c>
      <c r="K700" s="16">
        <f>SUMIFS(Salidas!G:G,Salidas!E:E,Artículos[[#This Row],[Código]])</f>
        <v>0</v>
      </c>
      <c r="L700" s="16">
        <f>Artículos[[#This Row],[Existencias iniciales]]+Artículos[[#This Row],[Entradas]]-Artículos[[#This Row],[Salidas]]</f>
        <v>0</v>
      </c>
      <c r="M700" s="16"/>
      <c r="N700" s="16"/>
    </row>
    <row r="701" spans="1:14" hidden="1" x14ac:dyDescent="0.3">
      <c r="A701" s="14"/>
      <c r="B701" s="15"/>
      <c r="C701" s="16"/>
      <c r="D701" s="26"/>
      <c r="E701" s="16"/>
      <c r="F701" s="51"/>
      <c r="G701" s="14"/>
      <c r="H701" s="14"/>
      <c r="I701" s="14"/>
      <c r="J701" s="16">
        <f>SUMIFS(Entradas!G:G,Entradas!E:E,Artículos[[#This Row],[Código]])</f>
        <v>0</v>
      </c>
      <c r="K701" s="16">
        <f>SUMIFS(Salidas!G:G,Salidas!E:E,Artículos[[#This Row],[Código]])</f>
        <v>0</v>
      </c>
      <c r="L701" s="16">
        <f>Artículos[[#This Row],[Existencias iniciales]]+Artículos[[#This Row],[Entradas]]-Artículos[[#This Row],[Salidas]]</f>
        <v>0</v>
      </c>
      <c r="M701" s="16"/>
      <c r="N701" s="16"/>
    </row>
    <row r="702" spans="1:14" hidden="1" x14ac:dyDescent="0.3">
      <c r="A702" s="14"/>
      <c r="B702" s="15"/>
      <c r="C702" s="16" t="e">
        <f>IF([2]!Artículos4[[#This Row],[Proveedor (código)]]="","",VLOOKUP([2]!Artículos4[[#This Row],[Proveedor (código)]],[2]Proveedores!A:B,2,FALSE))</f>
        <v>#REF!</v>
      </c>
      <c r="D702" s="26"/>
      <c r="E702" s="16"/>
      <c r="F702" s="51"/>
      <c r="G702" s="14"/>
      <c r="H702" s="14"/>
      <c r="I702" s="14"/>
      <c r="J702" s="16">
        <f>SUMIFS(Entradas!G:G,Entradas!E:E,Artículos[[#This Row],[Código]])</f>
        <v>0</v>
      </c>
      <c r="K702" s="16">
        <f>SUMIFS(Salidas!G:G,Salidas!E:E,Artículos[[#This Row],[Código]])</f>
        <v>0</v>
      </c>
      <c r="L702" s="16">
        <f>Artículos[[#This Row],[Existencias iniciales]]+Artículos[[#This Row],[Entradas]]-Artículos[[#This Row],[Salidas]]</f>
        <v>0</v>
      </c>
      <c r="M702" s="16"/>
      <c r="N702" s="16"/>
    </row>
    <row r="703" spans="1:14" hidden="1" x14ac:dyDescent="0.3">
      <c r="A703" s="14"/>
      <c r="B703" s="15"/>
      <c r="C703" s="16" t="e">
        <f>IF([2]!Artículos4[[#This Row],[Proveedor (código)]]="","",VLOOKUP([2]!Artículos4[[#This Row],[Proveedor (código)]],[2]Proveedores!A:B,2,FALSE))</f>
        <v>#REF!</v>
      </c>
      <c r="D703" s="14"/>
      <c r="E703" s="26"/>
      <c r="F703" s="51"/>
      <c r="G703" s="14"/>
      <c r="H703" s="14"/>
      <c r="I703" s="14"/>
      <c r="J703" s="16">
        <f>SUMIFS(Entradas!G:G,Entradas!E:E,Artículos[[#This Row],[Código]])</f>
        <v>0</v>
      </c>
      <c r="K703" s="16">
        <f>SUMIFS(Salidas!G:G,Salidas!E:E,Artículos[[#This Row],[Código]])</f>
        <v>0</v>
      </c>
      <c r="L703" s="16" t="e">
        <f>[3]!Artículos[[#This Row],[Existencias iniciales]]+[3]!Artículos[[#This Row],[Entradas]]-[3]!Artículos[[#This Row],[Salidas]]</f>
        <v>#REF!</v>
      </c>
      <c r="M703" s="16"/>
      <c r="N703" s="16"/>
    </row>
    <row r="704" spans="1:14" x14ac:dyDescent="0.3">
      <c r="A704" s="14" t="s">
        <v>85</v>
      </c>
      <c r="B704" s="15"/>
      <c r="C704" s="16"/>
      <c r="D704" s="14"/>
      <c r="E704" s="31"/>
      <c r="F704" s="54"/>
      <c r="G704" s="14"/>
      <c r="H704" s="14"/>
      <c r="I704" s="14">
        <f>SUBTOTAL(109,Artículos[Existencias iniciales])</f>
        <v>365</v>
      </c>
      <c r="J704" s="16">
        <f>SUBTOTAL(109,Artículos[Entradas])</f>
        <v>373</v>
      </c>
      <c r="K704" s="16">
        <f>SUBTOTAL(109,Artículos[Salidas])</f>
        <v>80</v>
      </c>
      <c r="L704" s="16">
        <f>SUBTOTAL(109,Artículos[Existencias actuales])</f>
        <v>658</v>
      </c>
      <c r="M704" s="16"/>
      <c r="N704" s="16"/>
    </row>
  </sheetData>
  <dataConsolidate/>
  <mergeCells count="1">
    <mergeCell ref="A1:XFD1"/>
  </mergeCells>
  <phoneticPr fontId="4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9FDF4-C950-43F4-AE01-3882120B4444}">
  <dimension ref="B2:D677"/>
  <sheetViews>
    <sheetView topLeftCell="A656" workbookViewId="0">
      <selection activeCell="B684" sqref="B684"/>
    </sheetView>
  </sheetViews>
  <sheetFormatPr baseColWidth="10" defaultRowHeight="14.4" x14ac:dyDescent="0.3"/>
  <sheetData>
    <row r="2" spans="2:4" x14ac:dyDescent="0.3">
      <c r="B2" s="33" t="s">
        <v>0</v>
      </c>
      <c r="C2" s="34" t="s">
        <v>94</v>
      </c>
      <c r="D2" s="34" t="s">
        <v>93</v>
      </c>
    </row>
    <row r="3" spans="2:4" x14ac:dyDescent="0.3">
      <c r="B3" s="39" t="s">
        <v>693</v>
      </c>
      <c r="C3" s="40" t="s">
        <v>41</v>
      </c>
      <c r="D3" s="40" t="s">
        <v>69</v>
      </c>
    </row>
    <row r="4" spans="2:4" x14ac:dyDescent="0.3">
      <c r="B4" s="41" t="s">
        <v>1164</v>
      </c>
      <c r="C4" s="42" t="s">
        <v>96</v>
      </c>
      <c r="D4" s="42" t="s">
        <v>69</v>
      </c>
    </row>
    <row r="5" spans="2:4" x14ac:dyDescent="0.3">
      <c r="B5" s="39" t="s">
        <v>1165</v>
      </c>
      <c r="C5" s="40" t="s">
        <v>97</v>
      </c>
      <c r="D5" s="40" t="s">
        <v>69</v>
      </c>
    </row>
    <row r="6" spans="2:4" x14ac:dyDescent="0.3">
      <c r="B6" s="41" t="s">
        <v>1166</v>
      </c>
      <c r="C6" s="42" t="s">
        <v>98</v>
      </c>
      <c r="D6" s="42" t="s">
        <v>69</v>
      </c>
    </row>
    <row r="7" spans="2:4" x14ac:dyDescent="0.3">
      <c r="B7" s="39" t="s">
        <v>1167</v>
      </c>
      <c r="C7" s="40" t="s">
        <v>97</v>
      </c>
      <c r="D7" s="40" t="s">
        <v>69</v>
      </c>
    </row>
    <row r="8" spans="2:4" x14ac:dyDescent="0.3">
      <c r="B8" s="41" t="s">
        <v>1168</v>
      </c>
      <c r="C8" s="42" t="s">
        <v>99</v>
      </c>
      <c r="D8" s="42" t="s">
        <v>69</v>
      </c>
    </row>
    <row r="9" spans="2:4" x14ac:dyDescent="0.3">
      <c r="B9" s="39" t="s">
        <v>1169</v>
      </c>
      <c r="C9" s="40" t="s">
        <v>100</v>
      </c>
      <c r="D9" s="40" t="s">
        <v>69</v>
      </c>
    </row>
    <row r="10" spans="2:4" x14ac:dyDescent="0.3">
      <c r="B10" s="41" t="s">
        <v>1170</v>
      </c>
      <c r="C10" s="42" t="s">
        <v>101</v>
      </c>
      <c r="D10" s="42" t="s">
        <v>69</v>
      </c>
    </row>
    <row r="11" spans="2:4" x14ac:dyDescent="0.3">
      <c r="B11" s="39" t="s">
        <v>1171</v>
      </c>
      <c r="C11" s="40" t="s">
        <v>102</v>
      </c>
      <c r="D11" s="40" t="s">
        <v>69</v>
      </c>
    </row>
    <row r="12" spans="2:4" x14ac:dyDescent="0.3">
      <c r="B12" s="41" t="s">
        <v>1172</v>
      </c>
      <c r="C12" s="42" t="s">
        <v>103</v>
      </c>
      <c r="D12" s="42" t="s">
        <v>69</v>
      </c>
    </row>
    <row r="13" spans="2:4" x14ac:dyDescent="0.3">
      <c r="B13" s="39" t="s">
        <v>1173</v>
      </c>
      <c r="C13" s="40" t="s">
        <v>104</v>
      </c>
      <c r="D13" s="40" t="s">
        <v>69</v>
      </c>
    </row>
    <row r="14" spans="2:4" x14ac:dyDescent="0.3">
      <c r="B14" s="41" t="s">
        <v>1174</v>
      </c>
      <c r="C14" s="42" t="s">
        <v>105</v>
      </c>
      <c r="D14" s="42" t="s">
        <v>69</v>
      </c>
    </row>
    <row r="15" spans="2:4" x14ac:dyDescent="0.3">
      <c r="B15" s="39" t="s">
        <v>1175</v>
      </c>
      <c r="C15" s="40" t="s">
        <v>106</v>
      </c>
      <c r="D15" s="40" t="s">
        <v>69</v>
      </c>
    </row>
    <row r="16" spans="2:4" x14ac:dyDescent="0.3">
      <c r="B16" s="41" t="s">
        <v>1176</v>
      </c>
      <c r="C16" s="42" t="s">
        <v>107</v>
      </c>
      <c r="D16" s="42" t="s">
        <v>69</v>
      </c>
    </row>
    <row r="17" spans="2:4" x14ac:dyDescent="0.3">
      <c r="B17" s="39" t="s">
        <v>1177</v>
      </c>
      <c r="C17" s="40" t="s">
        <v>108</v>
      </c>
      <c r="D17" s="40" t="s">
        <v>69</v>
      </c>
    </row>
    <row r="18" spans="2:4" x14ac:dyDescent="0.3">
      <c r="B18" s="41" t="s">
        <v>1178</v>
      </c>
      <c r="C18" s="42" t="s">
        <v>109</v>
      </c>
      <c r="D18" s="42" t="s">
        <v>69</v>
      </c>
    </row>
    <row r="19" spans="2:4" x14ac:dyDescent="0.3">
      <c r="B19" s="39" t="s">
        <v>1179</v>
      </c>
      <c r="C19" s="40" t="s">
        <v>110</v>
      </c>
      <c r="D19" s="40" t="s">
        <v>69</v>
      </c>
    </row>
    <row r="20" spans="2:4" x14ac:dyDescent="0.3">
      <c r="B20" s="41" t="s">
        <v>1180</v>
      </c>
      <c r="C20" s="42" t="s">
        <v>111</v>
      </c>
      <c r="D20" s="42" t="s">
        <v>69</v>
      </c>
    </row>
    <row r="21" spans="2:4" x14ac:dyDescent="0.3">
      <c r="B21" s="39" t="s">
        <v>1181</v>
      </c>
      <c r="C21" s="40" t="s">
        <v>112</v>
      </c>
      <c r="D21" s="40" t="s">
        <v>69</v>
      </c>
    </row>
    <row r="22" spans="2:4" x14ac:dyDescent="0.3">
      <c r="B22" s="41" t="s">
        <v>1182</v>
      </c>
      <c r="C22" s="42" t="s">
        <v>113</v>
      </c>
      <c r="D22" s="42" t="s">
        <v>69</v>
      </c>
    </row>
    <row r="23" spans="2:4" x14ac:dyDescent="0.3">
      <c r="B23" s="39" t="s">
        <v>1183</v>
      </c>
      <c r="C23" s="40" t="s">
        <v>114</v>
      </c>
      <c r="D23" s="40" t="s">
        <v>69</v>
      </c>
    </row>
    <row r="24" spans="2:4" x14ac:dyDescent="0.3">
      <c r="B24" s="41" t="s">
        <v>1184</v>
      </c>
      <c r="C24" s="42" t="s">
        <v>115</v>
      </c>
      <c r="D24" s="42" t="s">
        <v>69</v>
      </c>
    </row>
    <row r="25" spans="2:4" x14ac:dyDescent="0.3">
      <c r="B25" s="39" t="s">
        <v>1185</v>
      </c>
      <c r="C25" s="40" t="s">
        <v>116</v>
      </c>
      <c r="D25" s="40" t="s">
        <v>69</v>
      </c>
    </row>
    <row r="26" spans="2:4" x14ac:dyDescent="0.3">
      <c r="B26" s="41" t="s">
        <v>1186</v>
      </c>
      <c r="C26" s="42" t="s">
        <v>117</v>
      </c>
      <c r="D26" s="42" t="s">
        <v>69</v>
      </c>
    </row>
    <row r="27" spans="2:4" x14ac:dyDescent="0.3">
      <c r="B27" s="39" t="s">
        <v>1187</v>
      </c>
      <c r="C27" s="40" t="s">
        <v>118</v>
      </c>
      <c r="D27" s="40" t="s">
        <v>69</v>
      </c>
    </row>
    <row r="28" spans="2:4" x14ac:dyDescent="0.3">
      <c r="B28" s="41" t="s">
        <v>1188</v>
      </c>
      <c r="C28" s="42" t="s">
        <v>119</v>
      </c>
      <c r="D28" s="42" t="s">
        <v>69</v>
      </c>
    </row>
    <row r="29" spans="2:4" x14ac:dyDescent="0.3">
      <c r="B29" s="39" t="s">
        <v>1189</v>
      </c>
      <c r="C29" s="40" t="s">
        <v>120</v>
      </c>
      <c r="D29" s="40" t="s">
        <v>69</v>
      </c>
    </row>
    <row r="30" spans="2:4" x14ac:dyDescent="0.3">
      <c r="B30" s="41" t="s">
        <v>1190</v>
      </c>
      <c r="C30" s="42" t="s">
        <v>121</v>
      </c>
      <c r="D30" s="42" t="s">
        <v>69</v>
      </c>
    </row>
    <row r="31" spans="2:4" x14ac:dyDescent="0.3">
      <c r="B31" s="39" t="s">
        <v>1191</v>
      </c>
      <c r="C31" s="40" t="s">
        <v>122</v>
      </c>
      <c r="D31" s="40" t="s">
        <v>69</v>
      </c>
    </row>
    <row r="32" spans="2:4" x14ac:dyDescent="0.3">
      <c r="B32" s="41" t="s">
        <v>1192</v>
      </c>
      <c r="C32" s="42" t="s">
        <v>43</v>
      </c>
      <c r="D32" s="42" t="s">
        <v>69</v>
      </c>
    </row>
    <row r="33" spans="2:4" x14ac:dyDescent="0.3">
      <c r="B33" s="39" t="s">
        <v>1193</v>
      </c>
      <c r="C33" s="40" t="s">
        <v>123</v>
      </c>
      <c r="D33" s="40" t="s">
        <v>69</v>
      </c>
    </row>
    <row r="34" spans="2:4" x14ac:dyDescent="0.3">
      <c r="B34" s="41" t="s">
        <v>1194</v>
      </c>
      <c r="C34" s="42" t="s">
        <v>124</v>
      </c>
      <c r="D34" s="42" t="s">
        <v>69</v>
      </c>
    </row>
    <row r="35" spans="2:4" x14ac:dyDescent="0.3">
      <c r="B35" s="39" t="s">
        <v>1195</v>
      </c>
      <c r="C35" s="40" t="s">
        <v>125</v>
      </c>
      <c r="D35" s="40" t="s">
        <v>69</v>
      </c>
    </row>
    <row r="36" spans="2:4" x14ac:dyDescent="0.3">
      <c r="B36" s="41" t="s">
        <v>1196</v>
      </c>
      <c r="C36" s="42" t="s">
        <v>45</v>
      </c>
      <c r="D36" s="42" t="s">
        <v>69</v>
      </c>
    </row>
    <row r="37" spans="2:4" x14ac:dyDescent="0.3">
      <c r="B37" s="39" t="s">
        <v>1197</v>
      </c>
      <c r="C37" s="40" t="s">
        <v>126</v>
      </c>
      <c r="D37" s="40" t="s">
        <v>69</v>
      </c>
    </row>
    <row r="38" spans="2:4" x14ac:dyDescent="0.3">
      <c r="B38" s="41" t="s">
        <v>1198</v>
      </c>
      <c r="C38" s="42" t="s">
        <v>127</v>
      </c>
      <c r="D38" s="42" t="s">
        <v>69</v>
      </c>
    </row>
    <row r="39" spans="2:4" x14ac:dyDescent="0.3">
      <c r="B39" s="39" t="s">
        <v>1199</v>
      </c>
      <c r="C39" s="40" t="s">
        <v>128</v>
      </c>
      <c r="D39" s="40" t="s">
        <v>69</v>
      </c>
    </row>
    <row r="40" spans="2:4" x14ac:dyDescent="0.3">
      <c r="B40" s="41" t="s">
        <v>1200</v>
      </c>
      <c r="C40" s="42" t="s">
        <v>129</v>
      </c>
      <c r="D40" s="42" t="s">
        <v>69</v>
      </c>
    </row>
    <row r="41" spans="2:4" x14ac:dyDescent="0.3">
      <c r="B41" s="39" t="s">
        <v>1201</v>
      </c>
      <c r="C41" s="40" t="s">
        <v>130</v>
      </c>
      <c r="D41" s="40" t="s">
        <v>69</v>
      </c>
    </row>
    <row r="42" spans="2:4" x14ac:dyDescent="0.3">
      <c r="B42" s="41" t="s">
        <v>1202</v>
      </c>
      <c r="C42" s="42" t="s">
        <v>131</v>
      </c>
      <c r="D42" s="42" t="s">
        <v>69</v>
      </c>
    </row>
    <row r="43" spans="2:4" x14ac:dyDescent="0.3">
      <c r="B43" s="39" t="s">
        <v>1203</v>
      </c>
      <c r="C43" s="40" t="s">
        <v>132</v>
      </c>
      <c r="D43" s="40" t="s">
        <v>69</v>
      </c>
    </row>
    <row r="44" spans="2:4" x14ac:dyDescent="0.3">
      <c r="B44" s="41" t="s">
        <v>1204</v>
      </c>
      <c r="C44" s="42" t="s">
        <v>133</v>
      </c>
      <c r="D44" s="42" t="s">
        <v>69</v>
      </c>
    </row>
    <row r="45" spans="2:4" x14ac:dyDescent="0.3">
      <c r="B45" s="39" t="s">
        <v>1204</v>
      </c>
      <c r="C45" s="40" t="s">
        <v>134</v>
      </c>
      <c r="D45" s="40" t="s">
        <v>69</v>
      </c>
    </row>
    <row r="46" spans="2:4" x14ac:dyDescent="0.3">
      <c r="B46" s="41" t="s">
        <v>1205</v>
      </c>
      <c r="C46" s="42" t="s">
        <v>135</v>
      </c>
      <c r="D46" s="42" t="s">
        <v>69</v>
      </c>
    </row>
    <row r="47" spans="2:4" x14ac:dyDescent="0.3">
      <c r="B47" s="39" t="s">
        <v>1206</v>
      </c>
      <c r="C47" s="40" t="s">
        <v>136</v>
      </c>
      <c r="D47" s="40" t="s">
        <v>69</v>
      </c>
    </row>
    <row r="48" spans="2:4" x14ac:dyDescent="0.3">
      <c r="B48" s="41" t="s">
        <v>1207</v>
      </c>
      <c r="C48" s="42" t="s">
        <v>137</v>
      </c>
      <c r="D48" s="42" t="s">
        <v>69</v>
      </c>
    </row>
    <row r="49" spans="2:4" x14ac:dyDescent="0.3">
      <c r="B49" s="39" t="s">
        <v>1208</v>
      </c>
      <c r="C49" s="40" t="s">
        <v>138</v>
      </c>
      <c r="D49" s="40" t="s">
        <v>69</v>
      </c>
    </row>
    <row r="50" spans="2:4" x14ac:dyDescent="0.3">
      <c r="B50" s="41" t="s">
        <v>1209</v>
      </c>
      <c r="C50" s="42" t="s">
        <v>139</v>
      </c>
      <c r="D50" s="42" t="s">
        <v>69</v>
      </c>
    </row>
    <row r="51" spans="2:4" x14ac:dyDescent="0.3">
      <c r="B51" s="39" t="s">
        <v>1210</v>
      </c>
      <c r="C51" s="40" t="s">
        <v>140</v>
      </c>
      <c r="D51" s="40" t="s">
        <v>69</v>
      </c>
    </row>
    <row r="52" spans="2:4" x14ac:dyDescent="0.3">
      <c r="B52" s="41" t="s">
        <v>1211</v>
      </c>
      <c r="C52" s="42" t="s">
        <v>141</v>
      </c>
      <c r="D52" s="42" t="s">
        <v>69</v>
      </c>
    </row>
    <row r="53" spans="2:4" x14ac:dyDescent="0.3">
      <c r="B53" s="39" t="s">
        <v>1212</v>
      </c>
      <c r="C53" s="40" t="s">
        <v>142</v>
      </c>
      <c r="D53" s="40" t="s">
        <v>69</v>
      </c>
    </row>
    <row r="54" spans="2:4" x14ac:dyDescent="0.3">
      <c r="B54" s="41" t="s">
        <v>1213</v>
      </c>
      <c r="C54" s="42" t="s">
        <v>143</v>
      </c>
      <c r="D54" s="42" t="s">
        <v>69</v>
      </c>
    </row>
    <row r="55" spans="2:4" x14ac:dyDescent="0.3">
      <c r="B55" s="39" t="s">
        <v>1214</v>
      </c>
      <c r="C55" s="40" t="s">
        <v>144</v>
      </c>
      <c r="D55" s="40" t="s">
        <v>69</v>
      </c>
    </row>
    <row r="56" spans="2:4" x14ac:dyDescent="0.3">
      <c r="B56" s="41" t="s">
        <v>1215</v>
      </c>
      <c r="C56" s="42" t="s">
        <v>145</v>
      </c>
      <c r="D56" s="42" t="s">
        <v>69</v>
      </c>
    </row>
    <row r="57" spans="2:4" x14ac:dyDescent="0.3">
      <c r="B57" s="39" t="s">
        <v>1216</v>
      </c>
      <c r="C57" s="40" t="s">
        <v>146</v>
      </c>
      <c r="D57" s="40" t="s">
        <v>69</v>
      </c>
    </row>
    <row r="58" spans="2:4" x14ac:dyDescent="0.3">
      <c r="B58" s="41" t="s">
        <v>1217</v>
      </c>
      <c r="C58" s="42" t="s">
        <v>147</v>
      </c>
      <c r="D58" s="42" t="s">
        <v>69</v>
      </c>
    </row>
    <row r="59" spans="2:4" x14ac:dyDescent="0.3">
      <c r="B59" s="39" t="s">
        <v>1218</v>
      </c>
      <c r="C59" s="40" t="s">
        <v>148</v>
      </c>
      <c r="D59" s="40" t="s">
        <v>69</v>
      </c>
    </row>
    <row r="60" spans="2:4" x14ac:dyDescent="0.3">
      <c r="B60" s="41" t="s">
        <v>1219</v>
      </c>
      <c r="C60" s="42" t="s">
        <v>149</v>
      </c>
      <c r="D60" s="42" t="s">
        <v>69</v>
      </c>
    </row>
    <row r="61" spans="2:4" x14ac:dyDescent="0.3">
      <c r="B61" s="39" t="s">
        <v>1220</v>
      </c>
      <c r="C61" s="40" t="s">
        <v>150</v>
      </c>
      <c r="D61" s="40" t="s">
        <v>69</v>
      </c>
    </row>
    <row r="62" spans="2:4" x14ac:dyDescent="0.3">
      <c r="B62" s="41" t="s">
        <v>1221</v>
      </c>
      <c r="C62" s="42" t="s">
        <v>151</v>
      </c>
      <c r="D62" s="42" t="s">
        <v>69</v>
      </c>
    </row>
    <row r="63" spans="2:4" x14ac:dyDescent="0.3">
      <c r="B63" s="39" t="s">
        <v>1222</v>
      </c>
      <c r="C63" s="40" t="s">
        <v>152</v>
      </c>
      <c r="D63" s="40" t="s">
        <v>69</v>
      </c>
    </row>
    <row r="64" spans="2:4" x14ac:dyDescent="0.3">
      <c r="B64" s="41" t="s">
        <v>1223</v>
      </c>
      <c r="C64" s="42" t="s">
        <v>153</v>
      </c>
      <c r="D64" s="42" t="s">
        <v>69</v>
      </c>
    </row>
    <row r="65" spans="2:4" x14ac:dyDescent="0.3">
      <c r="B65" s="39" t="s">
        <v>1224</v>
      </c>
      <c r="C65" s="40" t="s">
        <v>154</v>
      </c>
      <c r="D65" s="40" t="s">
        <v>69</v>
      </c>
    </row>
    <row r="66" spans="2:4" x14ac:dyDescent="0.3">
      <c r="B66" s="41" t="s">
        <v>1225</v>
      </c>
      <c r="C66" s="42" t="s">
        <v>153</v>
      </c>
      <c r="D66" s="42" t="s">
        <v>69</v>
      </c>
    </row>
    <row r="67" spans="2:4" x14ac:dyDescent="0.3">
      <c r="B67" s="39" t="s">
        <v>1226</v>
      </c>
      <c r="C67" s="40" t="s">
        <v>155</v>
      </c>
      <c r="D67" s="40" t="s">
        <v>69</v>
      </c>
    </row>
    <row r="68" spans="2:4" x14ac:dyDescent="0.3">
      <c r="B68" s="41" t="s">
        <v>1227</v>
      </c>
      <c r="C68" s="42" t="s">
        <v>156</v>
      </c>
      <c r="D68" s="42" t="s">
        <v>69</v>
      </c>
    </row>
    <row r="69" spans="2:4" x14ac:dyDescent="0.3">
      <c r="B69" s="39" t="s">
        <v>1228</v>
      </c>
      <c r="C69" s="40" t="s">
        <v>157</v>
      </c>
      <c r="D69" s="40" t="s">
        <v>69</v>
      </c>
    </row>
    <row r="70" spans="2:4" x14ac:dyDescent="0.3">
      <c r="B70" s="41" t="s">
        <v>1229</v>
      </c>
      <c r="C70" s="42" t="s">
        <v>158</v>
      </c>
      <c r="D70" s="42" t="s">
        <v>69</v>
      </c>
    </row>
    <row r="71" spans="2:4" x14ac:dyDescent="0.3">
      <c r="B71" s="39" t="s">
        <v>1230</v>
      </c>
      <c r="C71" s="40" t="s">
        <v>159</v>
      </c>
      <c r="D71" s="40" t="s">
        <v>69</v>
      </c>
    </row>
    <row r="72" spans="2:4" x14ac:dyDescent="0.3">
      <c r="B72" s="41" t="s">
        <v>1231</v>
      </c>
      <c r="C72" s="42" t="s">
        <v>160</v>
      </c>
      <c r="D72" s="42" t="s">
        <v>69</v>
      </c>
    </row>
    <row r="73" spans="2:4" x14ac:dyDescent="0.3">
      <c r="B73" s="39" t="s">
        <v>1232</v>
      </c>
      <c r="C73" s="40" t="s">
        <v>161</v>
      </c>
      <c r="D73" s="40" t="s">
        <v>69</v>
      </c>
    </row>
    <row r="74" spans="2:4" x14ac:dyDescent="0.3">
      <c r="B74" s="41" t="s">
        <v>1233</v>
      </c>
      <c r="C74" s="42" t="s">
        <v>162</v>
      </c>
      <c r="D74" s="42" t="s">
        <v>69</v>
      </c>
    </row>
    <row r="75" spans="2:4" x14ac:dyDescent="0.3">
      <c r="B75" s="39" t="s">
        <v>1234</v>
      </c>
      <c r="C75" s="40" t="s">
        <v>163</v>
      </c>
      <c r="D75" s="40" t="s">
        <v>69</v>
      </c>
    </row>
    <row r="76" spans="2:4" x14ac:dyDescent="0.3">
      <c r="B76" s="41" t="s">
        <v>1235</v>
      </c>
      <c r="C76" s="42" t="s">
        <v>164</v>
      </c>
      <c r="D76" s="42" t="s">
        <v>69</v>
      </c>
    </row>
    <row r="77" spans="2:4" x14ac:dyDescent="0.3">
      <c r="B77" s="39" t="s">
        <v>1236</v>
      </c>
      <c r="C77" s="40" t="s">
        <v>165</v>
      </c>
      <c r="D77" s="40" t="s">
        <v>69</v>
      </c>
    </row>
    <row r="78" spans="2:4" x14ac:dyDescent="0.3">
      <c r="B78" s="41" t="s">
        <v>1237</v>
      </c>
      <c r="C78" s="42" t="s">
        <v>166</v>
      </c>
      <c r="D78" s="42" t="s">
        <v>69</v>
      </c>
    </row>
    <row r="79" spans="2:4" x14ac:dyDescent="0.3">
      <c r="B79" s="39" t="s">
        <v>1238</v>
      </c>
      <c r="C79" s="40" t="s">
        <v>167</v>
      </c>
      <c r="D79" s="40" t="s">
        <v>69</v>
      </c>
    </row>
    <row r="80" spans="2:4" x14ac:dyDescent="0.3">
      <c r="B80" s="41" t="s">
        <v>1239</v>
      </c>
      <c r="C80" s="42" t="s">
        <v>168</v>
      </c>
      <c r="D80" s="42" t="s">
        <v>69</v>
      </c>
    </row>
    <row r="81" spans="2:4" x14ac:dyDescent="0.3">
      <c r="B81" s="39" t="s">
        <v>1240</v>
      </c>
      <c r="C81" s="40" t="s">
        <v>169</v>
      </c>
      <c r="D81" s="40" t="s">
        <v>69</v>
      </c>
    </row>
    <row r="82" spans="2:4" x14ac:dyDescent="0.3">
      <c r="B82" s="41" t="s">
        <v>1241</v>
      </c>
      <c r="C82" s="42" t="s">
        <v>170</v>
      </c>
      <c r="D82" s="42" t="s">
        <v>69</v>
      </c>
    </row>
    <row r="83" spans="2:4" x14ac:dyDescent="0.3">
      <c r="B83" s="39" t="s">
        <v>1242</v>
      </c>
      <c r="C83" s="40" t="s">
        <v>171</v>
      </c>
      <c r="D83" s="40" t="s">
        <v>69</v>
      </c>
    </row>
    <row r="84" spans="2:4" x14ac:dyDescent="0.3">
      <c r="B84" s="41" t="s">
        <v>1243</v>
      </c>
      <c r="C84" s="42" t="s">
        <v>172</v>
      </c>
      <c r="D84" s="42" t="s">
        <v>69</v>
      </c>
    </row>
    <row r="85" spans="2:4" x14ac:dyDescent="0.3">
      <c r="B85" s="39" t="s">
        <v>1244</v>
      </c>
      <c r="C85" s="40" t="s">
        <v>173</v>
      </c>
      <c r="D85" s="40" t="s">
        <v>69</v>
      </c>
    </row>
    <row r="86" spans="2:4" x14ac:dyDescent="0.3">
      <c r="B86" s="41" t="s">
        <v>1245</v>
      </c>
      <c r="C86" s="42" t="s">
        <v>174</v>
      </c>
      <c r="D86" s="42" t="s">
        <v>69</v>
      </c>
    </row>
    <row r="87" spans="2:4" x14ac:dyDescent="0.3">
      <c r="B87" s="39" t="s">
        <v>1246</v>
      </c>
      <c r="C87" s="40" t="s">
        <v>175</v>
      </c>
      <c r="D87" s="40" t="s">
        <v>69</v>
      </c>
    </row>
    <row r="88" spans="2:4" x14ac:dyDescent="0.3">
      <c r="B88" s="41" t="s">
        <v>1247</v>
      </c>
      <c r="C88" s="42" t="s">
        <v>176</v>
      </c>
      <c r="D88" s="42" t="s">
        <v>69</v>
      </c>
    </row>
    <row r="89" spans="2:4" x14ac:dyDescent="0.3">
      <c r="B89" s="39" t="s">
        <v>1248</v>
      </c>
      <c r="C89" s="40" t="s">
        <v>177</v>
      </c>
      <c r="D89" s="40" t="s">
        <v>69</v>
      </c>
    </row>
    <row r="90" spans="2:4" x14ac:dyDescent="0.3">
      <c r="B90" s="41" t="s">
        <v>1249</v>
      </c>
      <c r="C90" s="42" t="s">
        <v>178</v>
      </c>
      <c r="D90" s="42" t="s">
        <v>69</v>
      </c>
    </row>
    <row r="91" spans="2:4" x14ac:dyDescent="0.3">
      <c r="B91" s="39" t="s">
        <v>1250</v>
      </c>
      <c r="C91" s="40"/>
      <c r="D91" s="40" t="s">
        <v>69</v>
      </c>
    </row>
    <row r="92" spans="2:4" x14ac:dyDescent="0.3">
      <c r="B92" s="41" t="s">
        <v>694</v>
      </c>
      <c r="C92" s="42" t="s">
        <v>179</v>
      </c>
      <c r="D92" s="42" t="s">
        <v>48</v>
      </c>
    </row>
    <row r="93" spans="2:4" x14ac:dyDescent="0.3">
      <c r="B93" s="39" t="s">
        <v>696</v>
      </c>
      <c r="C93" s="40" t="s">
        <v>180</v>
      </c>
      <c r="D93" s="40" t="s">
        <v>48</v>
      </c>
    </row>
    <row r="94" spans="2:4" x14ac:dyDescent="0.3">
      <c r="B94" s="41" t="s">
        <v>695</v>
      </c>
      <c r="C94" s="42" t="s">
        <v>181</v>
      </c>
      <c r="D94" s="42" t="s">
        <v>48</v>
      </c>
    </row>
    <row r="95" spans="2:4" x14ac:dyDescent="0.3">
      <c r="B95" s="39" t="s">
        <v>697</v>
      </c>
      <c r="C95" s="40" t="s">
        <v>182</v>
      </c>
      <c r="D95" s="40" t="s">
        <v>48</v>
      </c>
    </row>
    <row r="96" spans="2:4" x14ac:dyDescent="0.3">
      <c r="B96" s="41" t="s">
        <v>698</v>
      </c>
      <c r="C96" s="42" t="s">
        <v>183</v>
      </c>
      <c r="D96" s="42" t="s">
        <v>48</v>
      </c>
    </row>
    <row r="97" spans="2:4" x14ac:dyDescent="0.3">
      <c r="B97" s="39" t="s">
        <v>699</v>
      </c>
      <c r="C97" s="40" t="s">
        <v>184</v>
      </c>
      <c r="D97" s="40" t="s">
        <v>48</v>
      </c>
    </row>
    <row r="98" spans="2:4" x14ac:dyDescent="0.3">
      <c r="B98" s="41" t="s">
        <v>700</v>
      </c>
      <c r="C98" s="42" t="s">
        <v>185</v>
      </c>
      <c r="D98" s="42" t="s">
        <v>48</v>
      </c>
    </row>
    <row r="99" spans="2:4" x14ac:dyDescent="0.3">
      <c r="B99" s="39" t="s">
        <v>701</v>
      </c>
      <c r="C99" s="40" t="s">
        <v>186</v>
      </c>
      <c r="D99" s="40" t="s">
        <v>48</v>
      </c>
    </row>
    <row r="100" spans="2:4" x14ac:dyDescent="0.3">
      <c r="B100" s="41" t="s">
        <v>718</v>
      </c>
      <c r="C100" s="42" t="s">
        <v>187</v>
      </c>
      <c r="D100" s="42" t="s">
        <v>48</v>
      </c>
    </row>
    <row r="101" spans="2:4" x14ac:dyDescent="0.3">
      <c r="B101" s="39" t="s">
        <v>719</v>
      </c>
      <c r="C101" s="40" t="s">
        <v>188</v>
      </c>
      <c r="D101" s="40" t="s">
        <v>48</v>
      </c>
    </row>
    <row r="102" spans="2:4" x14ac:dyDescent="0.3">
      <c r="B102" s="41" t="s">
        <v>720</v>
      </c>
      <c r="C102" s="42" t="s">
        <v>189</v>
      </c>
      <c r="D102" s="42" t="s">
        <v>48</v>
      </c>
    </row>
    <row r="103" spans="2:4" x14ac:dyDescent="0.3">
      <c r="B103" s="39" t="s">
        <v>721</v>
      </c>
      <c r="C103" s="40" t="s">
        <v>190</v>
      </c>
      <c r="D103" s="40" t="s">
        <v>48</v>
      </c>
    </row>
    <row r="104" spans="2:4" x14ac:dyDescent="0.3">
      <c r="B104" s="41" t="s">
        <v>722</v>
      </c>
      <c r="C104" s="42" t="s">
        <v>191</v>
      </c>
      <c r="D104" s="42" t="s">
        <v>48</v>
      </c>
    </row>
    <row r="105" spans="2:4" x14ac:dyDescent="0.3">
      <c r="B105" s="39" t="s">
        <v>1338</v>
      </c>
      <c r="C105" s="40" t="s">
        <v>192</v>
      </c>
      <c r="D105" s="40" t="s">
        <v>48</v>
      </c>
    </row>
    <row r="106" spans="2:4" x14ac:dyDescent="0.3">
      <c r="B106" s="41" t="s">
        <v>1339</v>
      </c>
      <c r="C106" s="42" t="s">
        <v>193</v>
      </c>
      <c r="D106" s="42" t="s">
        <v>48</v>
      </c>
    </row>
    <row r="107" spans="2:4" x14ac:dyDescent="0.3">
      <c r="B107" s="39" t="s">
        <v>702</v>
      </c>
      <c r="C107" s="40" t="s">
        <v>194</v>
      </c>
      <c r="D107" s="40" t="s">
        <v>48</v>
      </c>
    </row>
    <row r="108" spans="2:4" x14ac:dyDescent="0.3">
      <c r="B108" s="41" t="s">
        <v>1340</v>
      </c>
      <c r="C108" s="42" t="s">
        <v>195</v>
      </c>
      <c r="D108" s="42" t="s">
        <v>48</v>
      </c>
    </row>
    <row r="109" spans="2:4" x14ac:dyDescent="0.3">
      <c r="B109" s="39" t="s">
        <v>1341</v>
      </c>
      <c r="C109" s="40" t="s">
        <v>196</v>
      </c>
      <c r="D109" s="40" t="s">
        <v>48</v>
      </c>
    </row>
    <row r="110" spans="2:4" x14ac:dyDescent="0.3">
      <c r="B110" s="41" t="s">
        <v>1342</v>
      </c>
      <c r="C110" s="42" t="s">
        <v>197</v>
      </c>
      <c r="D110" s="42" t="s">
        <v>48</v>
      </c>
    </row>
    <row r="111" spans="2:4" x14ac:dyDescent="0.3">
      <c r="B111" s="39" t="s">
        <v>1343</v>
      </c>
      <c r="C111" s="40" t="s">
        <v>198</v>
      </c>
      <c r="D111" s="40" t="s">
        <v>48</v>
      </c>
    </row>
    <row r="112" spans="2:4" x14ac:dyDescent="0.3">
      <c r="B112" s="41" t="s">
        <v>1344</v>
      </c>
      <c r="C112" s="42" t="s">
        <v>199</v>
      </c>
      <c r="D112" s="42" t="s">
        <v>48</v>
      </c>
    </row>
    <row r="113" spans="2:4" x14ac:dyDescent="0.3">
      <c r="B113" s="39" t="s">
        <v>1345</v>
      </c>
      <c r="C113" s="40" t="s">
        <v>685</v>
      </c>
      <c r="D113" s="40" t="s">
        <v>48</v>
      </c>
    </row>
    <row r="114" spans="2:4" x14ac:dyDescent="0.3">
      <c r="B114" s="41" t="s">
        <v>1346</v>
      </c>
      <c r="C114" s="42"/>
      <c r="D114" s="42" t="s">
        <v>48</v>
      </c>
    </row>
    <row r="115" spans="2:4" x14ac:dyDescent="0.3">
      <c r="B115" s="39" t="s">
        <v>1347</v>
      </c>
      <c r="C115" s="40"/>
      <c r="D115" s="40" t="s">
        <v>48</v>
      </c>
    </row>
    <row r="116" spans="2:4" x14ac:dyDescent="0.3">
      <c r="B116" s="41" t="s">
        <v>716</v>
      </c>
      <c r="C116" s="42" t="s">
        <v>200</v>
      </c>
      <c r="D116" s="42" t="s">
        <v>201</v>
      </c>
    </row>
    <row r="117" spans="2:4" x14ac:dyDescent="0.3">
      <c r="B117" s="39" t="s">
        <v>885</v>
      </c>
      <c r="C117" s="40" t="s">
        <v>202</v>
      </c>
      <c r="D117" s="40" t="s">
        <v>201</v>
      </c>
    </row>
    <row r="118" spans="2:4" x14ac:dyDescent="0.3">
      <c r="B118" s="41" t="s">
        <v>886</v>
      </c>
      <c r="C118" s="42" t="s">
        <v>203</v>
      </c>
      <c r="D118" s="42" t="s">
        <v>201</v>
      </c>
    </row>
    <row r="119" spans="2:4" x14ac:dyDescent="0.3">
      <c r="B119" s="39" t="s">
        <v>887</v>
      </c>
      <c r="C119" s="40" t="s">
        <v>204</v>
      </c>
      <c r="D119" s="40" t="s">
        <v>201</v>
      </c>
    </row>
    <row r="120" spans="2:4" x14ac:dyDescent="0.3">
      <c r="B120" s="41" t="s">
        <v>888</v>
      </c>
      <c r="C120" s="42" t="s">
        <v>205</v>
      </c>
      <c r="D120" s="42" t="s">
        <v>201</v>
      </c>
    </row>
    <row r="121" spans="2:4" x14ac:dyDescent="0.3">
      <c r="B121" s="39" t="s">
        <v>889</v>
      </c>
      <c r="C121" s="40" t="s">
        <v>206</v>
      </c>
      <c r="D121" s="40" t="s">
        <v>201</v>
      </c>
    </row>
    <row r="122" spans="2:4" x14ac:dyDescent="0.3">
      <c r="B122" s="41" t="s">
        <v>890</v>
      </c>
      <c r="C122" s="42" t="s">
        <v>207</v>
      </c>
      <c r="D122" s="42" t="s">
        <v>201</v>
      </c>
    </row>
    <row r="123" spans="2:4" x14ac:dyDescent="0.3">
      <c r="B123" s="39" t="s">
        <v>891</v>
      </c>
      <c r="C123" s="40" t="s">
        <v>208</v>
      </c>
      <c r="D123" s="40" t="s">
        <v>201</v>
      </c>
    </row>
    <row r="124" spans="2:4" x14ac:dyDescent="0.3">
      <c r="B124" s="41" t="s">
        <v>892</v>
      </c>
      <c r="C124" s="42" t="s">
        <v>209</v>
      </c>
      <c r="D124" s="42" t="s">
        <v>201</v>
      </c>
    </row>
    <row r="125" spans="2:4" x14ac:dyDescent="0.3">
      <c r="B125" s="39" t="s">
        <v>893</v>
      </c>
      <c r="C125" s="40" t="s">
        <v>210</v>
      </c>
      <c r="D125" s="40" t="s">
        <v>201</v>
      </c>
    </row>
    <row r="126" spans="2:4" x14ac:dyDescent="0.3">
      <c r="B126" s="41" t="s">
        <v>895</v>
      </c>
      <c r="C126" s="42" t="s">
        <v>211</v>
      </c>
      <c r="D126" s="42" t="s">
        <v>201</v>
      </c>
    </row>
    <row r="127" spans="2:4" x14ac:dyDescent="0.3">
      <c r="B127" s="39" t="s">
        <v>894</v>
      </c>
      <c r="C127" s="40" t="s">
        <v>212</v>
      </c>
      <c r="D127" s="40" t="s">
        <v>201</v>
      </c>
    </row>
    <row r="128" spans="2:4" x14ac:dyDescent="0.3">
      <c r="B128" s="41" t="s">
        <v>896</v>
      </c>
      <c r="C128" s="42" t="s">
        <v>213</v>
      </c>
      <c r="D128" s="42" t="s">
        <v>201</v>
      </c>
    </row>
    <row r="129" spans="2:4" x14ac:dyDescent="0.3">
      <c r="B129" s="39" t="s">
        <v>897</v>
      </c>
      <c r="C129" s="40" t="s">
        <v>214</v>
      </c>
      <c r="D129" s="40" t="s">
        <v>201</v>
      </c>
    </row>
    <row r="130" spans="2:4" x14ac:dyDescent="0.3">
      <c r="B130" s="41" t="s">
        <v>898</v>
      </c>
      <c r="C130" s="42" t="s">
        <v>215</v>
      </c>
      <c r="D130" s="42" t="s">
        <v>201</v>
      </c>
    </row>
    <row r="131" spans="2:4" x14ac:dyDescent="0.3">
      <c r="B131" s="39" t="s">
        <v>899</v>
      </c>
      <c r="C131" s="40" t="s">
        <v>216</v>
      </c>
      <c r="D131" s="40" t="s">
        <v>201</v>
      </c>
    </row>
    <row r="132" spans="2:4" x14ac:dyDescent="0.3">
      <c r="B132" s="41" t="s">
        <v>900</v>
      </c>
      <c r="C132" s="42" t="s">
        <v>217</v>
      </c>
      <c r="D132" s="42" t="s">
        <v>201</v>
      </c>
    </row>
    <row r="133" spans="2:4" x14ac:dyDescent="0.3">
      <c r="B133" s="39" t="s">
        <v>901</v>
      </c>
      <c r="C133" s="40" t="s">
        <v>218</v>
      </c>
      <c r="D133" s="40" t="s">
        <v>201</v>
      </c>
    </row>
    <row r="134" spans="2:4" x14ac:dyDescent="0.3">
      <c r="B134" s="41" t="s">
        <v>902</v>
      </c>
      <c r="C134" s="42" t="s">
        <v>219</v>
      </c>
      <c r="D134" s="42" t="s">
        <v>201</v>
      </c>
    </row>
    <row r="135" spans="2:4" x14ac:dyDescent="0.3">
      <c r="B135" s="39" t="s">
        <v>903</v>
      </c>
      <c r="C135" s="40" t="s">
        <v>220</v>
      </c>
      <c r="D135" s="40" t="s">
        <v>201</v>
      </c>
    </row>
    <row r="136" spans="2:4" x14ac:dyDescent="0.3">
      <c r="B136" s="41" t="s">
        <v>904</v>
      </c>
      <c r="C136" s="42" t="s">
        <v>221</v>
      </c>
      <c r="D136" s="42" t="s">
        <v>201</v>
      </c>
    </row>
    <row r="137" spans="2:4" x14ac:dyDescent="0.3">
      <c r="B137" s="39" t="s">
        <v>905</v>
      </c>
      <c r="C137" s="40" t="s">
        <v>222</v>
      </c>
      <c r="D137" s="40" t="s">
        <v>201</v>
      </c>
    </row>
    <row r="138" spans="2:4" x14ac:dyDescent="0.3">
      <c r="B138" s="41" t="s">
        <v>906</v>
      </c>
      <c r="C138" s="42" t="s">
        <v>223</v>
      </c>
      <c r="D138" s="42" t="s">
        <v>201</v>
      </c>
    </row>
    <row r="139" spans="2:4" x14ac:dyDescent="0.3">
      <c r="B139" s="39" t="s">
        <v>907</v>
      </c>
      <c r="C139" s="40" t="s">
        <v>224</v>
      </c>
      <c r="D139" s="40" t="s">
        <v>201</v>
      </c>
    </row>
    <row r="140" spans="2:4" x14ac:dyDescent="0.3">
      <c r="B140" s="41" t="s">
        <v>908</v>
      </c>
      <c r="C140" s="42" t="s">
        <v>225</v>
      </c>
      <c r="D140" s="42" t="s">
        <v>201</v>
      </c>
    </row>
    <row r="141" spans="2:4" x14ac:dyDescent="0.3">
      <c r="B141" s="39" t="s">
        <v>909</v>
      </c>
      <c r="C141" s="40" t="s">
        <v>226</v>
      </c>
      <c r="D141" s="40" t="s">
        <v>201</v>
      </c>
    </row>
    <row r="142" spans="2:4" x14ac:dyDescent="0.3">
      <c r="B142" s="41" t="s">
        <v>910</v>
      </c>
      <c r="C142" s="42" t="s">
        <v>227</v>
      </c>
      <c r="D142" s="42" t="s">
        <v>201</v>
      </c>
    </row>
    <row r="143" spans="2:4" x14ac:dyDescent="0.3">
      <c r="B143" s="39" t="s">
        <v>911</v>
      </c>
      <c r="C143" s="40" t="s">
        <v>228</v>
      </c>
      <c r="D143" s="40" t="s">
        <v>201</v>
      </c>
    </row>
    <row r="144" spans="2:4" x14ac:dyDescent="0.3">
      <c r="B144" s="41" t="s">
        <v>912</v>
      </c>
      <c r="C144" s="42"/>
      <c r="D144" s="42" t="s">
        <v>201</v>
      </c>
    </row>
    <row r="145" spans="2:4" x14ac:dyDescent="0.3">
      <c r="B145" s="39" t="s">
        <v>913</v>
      </c>
      <c r="C145" s="40"/>
      <c r="D145" s="40" t="s">
        <v>201</v>
      </c>
    </row>
    <row r="146" spans="2:4" x14ac:dyDescent="0.3">
      <c r="B146" s="41" t="s">
        <v>785</v>
      </c>
      <c r="C146" s="42" t="s">
        <v>42</v>
      </c>
      <c r="D146" s="42" t="s">
        <v>229</v>
      </c>
    </row>
    <row r="147" spans="2:4" x14ac:dyDescent="0.3">
      <c r="B147" s="39" t="s">
        <v>786</v>
      </c>
      <c r="C147" s="40" t="s">
        <v>230</v>
      </c>
      <c r="D147" s="40" t="s">
        <v>229</v>
      </c>
    </row>
    <row r="148" spans="2:4" x14ac:dyDescent="0.3">
      <c r="B148" s="41" t="s">
        <v>787</v>
      </c>
      <c r="C148" s="42" t="s">
        <v>231</v>
      </c>
      <c r="D148" s="42" t="s">
        <v>229</v>
      </c>
    </row>
    <row r="149" spans="2:4" x14ac:dyDescent="0.3">
      <c r="B149" s="39" t="s">
        <v>789</v>
      </c>
      <c r="C149" s="40" t="s">
        <v>232</v>
      </c>
      <c r="D149" s="40" t="s">
        <v>229</v>
      </c>
    </row>
    <row r="150" spans="2:4" x14ac:dyDescent="0.3">
      <c r="B150" s="41" t="s">
        <v>788</v>
      </c>
      <c r="C150" s="42" t="s">
        <v>233</v>
      </c>
      <c r="D150" s="42" t="s">
        <v>229</v>
      </c>
    </row>
    <row r="151" spans="2:4" x14ac:dyDescent="0.3">
      <c r="B151" s="39" t="s">
        <v>790</v>
      </c>
      <c r="C151" s="40" t="s">
        <v>234</v>
      </c>
      <c r="D151" s="40" t="s">
        <v>229</v>
      </c>
    </row>
    <row r="152" spans="2:4" x14ac:dyDescent="0.3">
      <c r="B152" s="41" t="s">
        <v>791</v>
      </c>
      <c r="C152" s="42" t="s">
        <v>235</v>
      </c>
      <c r="D152" s="42" t="s">
        <v>229</v>
      </c>
    </row>
    <row r="153" spans="2:4" x14ac:dyDescent="0.3">
      <c r="B153" s="39" t="s">
        <v>792</v>
      </c>
      <c r="C153" s="40" t="s">
        <v>236</v>
      </c>
      <c r="D153" s="40" t="s">
        <v>229</v>
      </c>
    </row>
    <row r="154" spans="2:4" x14ac:dyDescent="0.3">
      <c r="B154" s="41" t="s">
        <v>793</v>
      </c>
      <c r="C154" s="42" t="s">
        <v>237</v>
      </c>
      <c r="D154" s="42" t="s">
        <v>229</v>
      </c>
    </row>
    <row r="155" spans="2:4" x14ac:dyDescent="0.3">
      <c r="B155" s="39" t="s">
        <v>794</v>
      </c>
      <c r="C155" s="40" t="s">
        <v>238</v>
      </c>
      <c r="D155" s="40" t="s">
        <v>229</v>
      </c>
    </row>
    <row r="156" spans="2:4" x14ac:dyDescent="0.3">
      <c r="B156" s="41" t="s">
        <v>795</v>
      </c>
      <c r="C156" s="42" t="s">
        <v>239</v>
      </c>
      <c r="D156" s="42" t="s">
        <v>229</v>
      </c>
    </row>
    <row r="157" spans="2:4" x14ac:dyDescent="0.3">
      <c r="B157" s="39" t="s">
        <v>796</v>
      </c>
      <c r="C157" s="40" t="s">
        <v>240</v>
      </c>
      <c r="D157" s="40" t="s">
        <v>229</v>
      </c>
    </row>
    <row r="158" spans="2:4" x14ac:dyDescent="0.3">
      <c r="B158" s="41" t="s">
        <v>797</v>
      </c>
      <c r="C158" s="42" t="s">
        <v>241</v>
      </c>
      <c r="D158" s="42" t="s">
        <v>229</v>
      </c>
    </row>
    <row r="159" spans="2:4" x14ac:dyDescent="0.3">
      <c r="B159" s="39" t="s">
        <v>798</v>
      </c>
      <c r="C159" s="40" t="s">
        <v>242</v>
      </c>
      <c r="D159" s="40" t="s">
        <v>229</v>
      </c>
    </row>
    <row r="160" spans="2:4" x14ac:dyDescent="0.3">
      <c r="B160" s="41" t="s">
        <v>799</v>
      </c>
      <c r="C160" s="42" t="s">
        <v>243</v>
      </c>
      <c r="D160" s="42" t="s">
        <v>229</v>
      </c>
    </row>
    <row r="161" spans="2:4" x14ac:dyDescent="0.3">
      <c r="B161" s="39" t="s">
        <v>800</v>
      </c>
      <c r="C161" s="40" t="s">
        <v>244</v>
      </c>
      <c r="D161" s="40" t="s">
        <v>229</v>
      </c>
    </row>
    <row r="162" spans="2:4" x14ac:dyDescent="0.3">
      <c r="B162" s="41" t="s">
        <v>801</v>
      </c>
      <c r="C162" s="42" t="s">
        <v>245</v>
      </c>
      <c r="D162" s="42" t="s">
        <v>229</v>
      </c>
    </row>
    <row r="163" spans="2:4" x14ac:dyDescent="0.3">
      <c r="B163" s="39" t="s">
        <v>802</v>
      </c>
      <c r="C163" s="40" t="s">
        <v>246</v>
      </c>
      <c r="D163" s="40" t="s">
        <v>229</v>
      </c>
    </row>
    <row r="164" spans="2:4" x14ac:dyDescent="0.3">
      <c r="B164" s="41" t="s">
        <v>803</v>
      </c>
      <c r="C164" s="42" t="s">
        <v>247</v>
      </c>
      <c r="D164" s="42" t="s">
        <v>229</v>
      </c>
    </row>
    <row r="165" spans="2:4" x14ac:dyDescent="0.3">
      <c r="B165" s="39" t="s">
        <v>804</v>
      </c>
      <c r="C165" s="40" t="s">
        <v>248</v>
      </c>
      <c r="D165" s="40" t="s">
        <v>229</v>
      </c>
    </row>
    <row r="166" spans="2:4" x14ac:dyDescent="0.3">
      <c r="B166" s="41" t="s">
        <v>805</v>
      </c>
      <c r="C166" s="42" t="s">
        <v>249</v>
      </c>
      <c r="D166" s="42" t="s">
        <v>229</v>
      </c>
    </row>
    <row r="167" spans="2:4" x14ac:dyDescent="0.3">
      <c r="B167" s="39" t="s">
        <v>806</v>
      </c>
      <c r="C167" s="40" t="s">
        <v>250</v>
      </c>
      <c r="D167" s="40" t="s">
        <v>229</v>
      </c>
    </row>
    <row r="168" spans="2:4" x14ac:dyDescent="0.3">
      <c r="B168" s="41" t="s">
        <v>807</v>
      </c>
      <c r="C168" s="42" t="s">
        <v>251</v>
      </c>
      <c r="D168" s="42" t="s">
        <v>229</v>
      </c>
    </row>
    <row r="169" spans="2:4" x14ac:dyDescent="0.3">
      <c r="B169" s="39" t="s">
        <v>808</v>
      </c>
      <c r="C169" s="40" t="s">
        <v>252</v>
      </c>
      <c r="D169" s="40" t="s">
        <v>229</v>
      </c>
    </row>
    <row r="170" spans="2:4" x14ac:dyDescent="0.3">
      <c r="B170" s="41" t="s">
        <v>809</v>
      </c>
      <c r="C170" s="42" t="s">
        <v>253</v>
      </c>
      <c r="D170" s="42" t="s">
        <v>229</v>
      </c>
    </row>
    <row r="171" spans="2:4" x14ac:dyDescent="0.3">
      <c r="B171" s="39" t="s">
        <v>810</v>
      </c>
      <c r="C171" s="40" t="s">
        <v>254</v>
      </c>
      <c r="D171" s="40" t="s">
        <v>229</v>
      </c>
    </row>
    <row r="172" spans="2:4" x14ac:dyDescent="0.3">
      <c r="B172" s="41" t="s">
        <v>811</v>
      </c>
      <c r="C172" s="42" t="s">
        <v>255</v>
      </c>
      <c r="D172" s="42" t="s">
        <v>229</v>
      </c>
    </row>
    <row r="173" spans="2:4" x14ac:dyDescent="0.3">
      <c r="B173" s="39" t="s">
        <v>812</v>
      </c>
      <c r="C173" s="40" t="s">
        <v>256</v>
      </c>
      <c r="D173" s="40" t="s">
        <v>229</v>
      </c>
    </row>
    <row r="174" spans="2:4" x14ac:dyDescent="0.3">
      <c r="B174" s="41" t="s">
        <v>813</v>
      </c>
      <c r="C174" s="42" t="s">
        <v>257</v>
      </c>
      <c r="D174" s="42" t="s">
        <v>229</v>
      </c>
    </row>
    <row r="175" spans="2:4" x14ac:dyDescent="0.3">
      <c r="B175" s="39" t="s">
        <v>814</v>
      </c>
      <c r="C175" s="40" t="s">
        <v>258</v>
      </c>
      <c r="D175" s="40" t="s">
        <v>229</v>
      </c>
    </row>
    <row r="176" spans="2:4" x14ac:dyDescent="0.3">
      <c r="B176" s="41" t="s">
        <v>815</v>
      </c>
      <c r="C176" s="42" t="s">
        <v>259</v>
      </c>
      <c r="D176" s="42" t="s">
        <v>229</v>
      </c>
    </row>
    <row r="177" spans="2:4" x14ac:dyDescent="0.3">
      <c r="B177" s="39" t="s">
        <v>816</v>
      </c>
      <c r="C177" s="40" t="s">
        <v>260</v>
      </c>
      <c r="D177" s="40" t="s">
        <v>229</v>
      </c>
    </row>
    <row r="178" spans="2:4" x14ac:dyDescent="0.3">
      <c r="B178" s="41" t="s">
        <v>817</v>
      </c>
      <c r="C178" s="42" t="s">
        <v>261</v>
      </c>
      <c r="D178" s="42" t="s">
        <v>229</v>
      </c>
    </row>
    <row r="179" spans="2:4" x14ac:dyDescent="0.3">
      <c r="B179" s="39" t="s">
        <v>818</v>
      </c>
      <c r="C179" s="40" t="s">
        <v>262</v>
      </c>
      <c r="D179" s="40" t="s">
        <v>229</v>
      </c>
    </row>
    <row r="180" spans="2:4" x14ac:dyDescent="0.3">
      <c r="B180" s="41" t="s">
        <v>819</v>
      </c>
      <c r="C180" s="42" t="s">
        <v>263</v>
      </c>
      <c r="D180" s="42" t="s">
        <v>229</v>
      </c>
    </row>
    <row r="181" spans="2:4" x14ac:dyDescent="0.3">
      <c r="B181" s="39" t="s">
        <v>820</v>
      </c>
      <c r="C181" s="40" t="s">
        <v>264</v>
      </c>
      <c r="D181" s="40" t="s">
        <v>229</v>
      </c>
    </row>
    <row r="182" spans="2:4" x14ac:dyDescent="0.3">
      <c r="B182" s="41" t="s">
        <v>821</v>
      </c>
      <c r="C182" s="42" t="s">
        <v>265</v>
      </c>
      <c r="D182" s="42" t="s">
        <v>229</v>
      </c>
    </row>
    <row r="183" spans="2:4" x14ac:dyDescent="0.3">
      <c r="B183" s="39" t="s">
        <v>822</v>
      </c>
      <c r="C183" s="40" t="s">
        <v>266</v>
      </c>
      <c r="D183" s="40" t="s">
        <v>229</v>
      </c>
    </row>
    <row r="184" spans="2:4" x14ac:dyDescent="0.3">
      <c r="B184" s="41" t="s">
        <v>823</v>
      </c>
      <c r="C184" s="42" t="s">
        <v>267</v>
      </c>
      <c r="D184" s="42" t="s">
        <v>229</v>
      </c>
    </row>
    <row r="185" spans="2:4" x14ac:dyDescent="0.3">
      <c r="B185" s="39" t="s">
        <v>824</v>
      </c>
      <c r="C185" s="40" t="s">
        <v>268</v>
      </c>
      <c r="D185" s="40" t="s">
        <v>229</v>
      </c>
    </row>
    <row r="186" spans="2:4" x14ac:dyDescent="0.3">
      <c r="B186" s="41" t="s">
        <v>748</v>
      </c>
      <c r="C186" s="42" t="s">
        <v>269</v>
      </c>
      <c r="D186" s="42" t="s">
        <v>52</v>
      </c>
    </row>
    <row r="187" spans="2:4" x14ac:dyDescent="0.3">
      <c r="B187" s="39" t="s">
        <v>749</v>
      </c>
      <c r="C187" s="40" t="s">
        <v>270</v>
      </c>
      <c r="D187" s="40" t="s">
        <v>52</v>
      </c>
    </row>
    <row r="188" spans="2:4" x14ac:dyDescent="0.3">
      <c r="B188" s="41" t="s">
        <v>750</v>
      </c>
      <c r="C188" s="42" t="s">
        <v>271</v>
      </c>
      <c r="D188" s="42" t="s">
        <v>52</v>
      </c>
    </row>
    <row r="189" spans="2:4" x14ac:dyDescent="0.3">
      <c r="B189" s="39" t="s">
        <v>751</v>
      </c>
      <c r="C189" s="40" t="s">
        <v>272</v>
      </c>
      <c r="D189" s="40" t="s">
        <v>52</v>
      </c>
    </row>
    <row r="190" spans="2:4" x14ac:dyDescent="0.3">
      <c r="B190" s="41" t="s">
        <v>752</v>
      </c>
      <c r="C190" s="42" t="s">
        <v>273</v>
      </c>
      <c r="D190" s="42" t="s">
        <v>52</v>
      </c>
    </row>
    <row r="191" spans="2:4" x14ac:dyDescent="0.3">
      <c r="B191" s="39" t="s">
        <v>753</v>
      </c>
      <c r="C191" s="40" t="s">
        <v>274</v>
      </c>
      <c r="D191" s="40" t="s">
        <v>52</v>
      </c>
    </row>
    <row r="192" spans="2:4" x14ac:dyDescent="0.3">
      <c r="B192" s="41" t="s">
        <v>754</v>
      </c>
      <c r="C192" s="42" t="s">
        <v>275</v>
      </c>
      <c r="D192" s="42" t="s">
        <v>52</v>
      </c>
    </row>
    <row r="193" spans="2:4" x14ac:dyDescent="0.3">
      <c r="B193" s="39" t="s">
        <v>755</v>
      </c>
      <c r="C193" s="40" t="s">
        <v>276</v>
      </c>
      <c r="D193" s="40" t="s">
        <v>52</v>
      </c>
    </row>
    <row r="194" spans="2:4" x14ac:dyDescent="0.3">
      <c r="B194" s="41" t="s">
        <v>756</v>
      </c>
      <c r="C194" s="42" t="s">
        <v>277</v>
      </c>
      <c r="D194" s="42" t="s">
        <v>52</v>
      </c>
    </row>
    <row r="195" spans="2:4" x14ac:dyDescent="0.3">
      <c r="B195" s="39" t="s">
        <v>757</v>
      </c>
      <c r="C195" s="40" t="s">
        <v>278</v>
      </c>
      <c r="D195" s="40" t="s">
        <v>52</v>
      </c>
    </row>
    <row r="196" spans="2:4" x14ac:dyDescent="0.3">
      <c r="B196" s="41" t="s">
        <v>758</v>
      </c>
      <c r="C196" s="42" t="s">
        <v>279</v>
      </c>
      <c r="D196" s="42" t="s">
        <v>52</v>
      </c>
    </row>
    <row r="197" spans="2:4" x14ac:dyDescent="0.3">
      <c r="B197" s="39" t="s">
        <v>759</v>
      </c>
      <c r="C197" s="40" t="s">
        <v>280</v>
      </c>
      <c r="D197" s="40" t="s">
        <v>52</v>
      </c>
    </row>
    <row r="198" spans="2:4" x14ac:dyDescent="0.3">
      <c r="B198" s="41" t="s">
        <v>760</v>
      </c>
      <c r="C198" s="42" t="s">
        <v>281</v>
      </c>
      <c r="D198" s="42" t="s">
        <v>52</v>
      </c>
    </row>
    <row r="199" spans="2:4" x14ac:dyDescent="0.3">
      <c r="B199" s="39" t="s">
        <v>761</v>
      </c>
      <c r="C199" s="40" t="s">
        <v>282</v>
      </c>
      <c r="D199" s="40" t="s">
        <v>52</v>
      </c>
    </row>
    <row r="200" spans="2:4" x14ac:dyDescent="0.3">
      <c r="B200" s="41" t="s">
        <v>762</v>
      </c>
      <c r="C200" s="42" t="s">
        <v>283</v>
      </c>
      <c r="D200" s="42" t="s">
        <v>52</v>
      </c>
    </row>
    <row r="201" spans="2:4" x14ac:dyDescent="0.3">
      <c r="B201" s="39" t="s">
        <v>763</v>
      </c>
      <c r="C201" s="40" t="s">
        <v>284</v>
      </c>
      <c r="D201" s="40" t="s">
        <v>52</v>
      </c>
    </row>
    <row r="202" spans="2:4" x14ac:dyDescent="0.3">
      <c r="B202" s="41" t="s">
        <v>764</v>
      </c>
      <c r="C202" s="42" t="s">
        <v>285</v>
      </c>
      <c r="D202" s="42" t="s">
        <v>52</v>
      </c>
    </row>
    <row r="203" spans="2:4" x14ac:dyDescent="0.3">
      <c r="B203" s="39" t="s">
        <v>765</v>
      </c>
      <c r="C203" s="40" t="s">
        <v>286</v>
      </c>
      <c r="D203" s="40" t="s">
        <v>52</v>
      </c>
    </row>
    <row r="204" spans="2:4" x14ac:dyDescent="0.3">
      <c r="B204" s="41" t="s">
        <v>766</v>
      </c>
      <c r="C204" s="42" t="s">
        <v>287</v>
      </c>
      <c r="D204" s="42" t="s">
        <v>52</v>
      </c>
    </row>
    <row r="205" spans="2:4" x14ac:dyDescent="0.3">
      <c r="B205" s="39" t="s">
        <v>767</v>
      </c>
      <c r="C205" s="40"/>
      <c r="D205" s="40" t="s">
        <v>52</v>
      </c>
    </row>
    <row r="206" spans="2:4" x14ac:dyDescent="0.3">
      <c r="B206" s="41" t="s">
        <v>768</v>
      </c>
      <c r="C206" s="42"/>
      <c r="D206" s="42" t="s">
        <v>52</v>
      </c>
    </row>
    <row r="207" spans="2:4" x14ac:dyDescent="0.3">
      <c r="B207" s="39" t="s">
        <v>769</v>
      </c>
      <c r="C207" s="40"/>
      <c r="D207" s="40" t="s">
        <v>52</v>
      </c>
    </row>
    <row r="208" spans="2:4" x14ac:dyDescent="0.3">
      <c r="B208" s="41" t="s">
        <v>770</v>
      </c>
      <c r="C208" s="42"/>
      <c r="D208" s="42" t="s">
        <v>52</v>
      </c>
    </row>
    <row r="209" spans="2:4" x14ac:dyDescent="0.3">
      <c r="B209" s="39" t="s">
        <v>771</v>
      </c>
      <c r="C209" s="40"/>
      <c r="D209" s="40" t="s">
        <v>52</v>
      </c>
    </row>
    <row r="210" spans="2:4" x14ac:dyDescent="0.3">
      <c r="B210" s="41" t="s">
        <v>772</v>
      </c>
      <c r="C210" s="42"/>
      <c r="D210" s="42" t="s">
        <v>52</v>
      </c>
    </row>
    <row r="211" spans="2:4" x14ac:dyDescent="0.3">
      <c r="B211" s="39" t="s">
        <v>1018</v>
      </c>
      <c r="C211" s="40" t="s">
        <v>288</v>
      </c>
      <c r="D211" s="40" t="s">
        <v>289</v>
      </c>
    </row>
    <row r="212" spans="2:4" x14ac:dyDescent="0.3">
      <c r="B212" s="41" t="s">
        <v>1019</v>
      </c>
      <c r="C212" s="42" t="s">
        <v>290</v>
      </c>
      <c r="D212" s="42" t="s">
        <v>289</v>
      </c>
    </row>
    <row r="213" spans="2:4" x14ac:dyDescent="0.3">
      <c r="B213" s="39" t="s">
        <v>1020</v>
      </c>
      <c r="C213" s="40" t="s">
        <v>291</v>
      </c>
      <c r="D213" s="40" t="s">
        <v>289</v>
      </c>
    </row>
    <row r="214" spans="2:4" x14ac:dyDescent="0.3">
      <c r="B214" s="41" t="s">
        <v>1021</v>
      </c>
      <c r="C214" s="42" t="s">
        <v>292</v>
      </c>
      <c r="D214" s="42" t="s">
        <v>289</v>
      </c>
    </row>
    <row r="215" spans="2:4" x14ac:dyDescent="0.3">
      <c r="B215" s="39" t="s">
        <v>1022</v>
      </c>
      <c r="C215" s="40" t="s">
        <v>293</v>
      </c>
      <c r="D215" s="40" t="s">
        <v>289</v>
      </c>
    </row>
    <row r="216" spans="2:4" x14ac:dyDescent="0.3">
      <c r="B216" s="41" t="s">
        <v>1023</v>
      </c>
      <c r="C216" s="42" t="s">
        <v>294</v>
      </c>
      <c r="D216" s="42" t="s">
        <v>289</v>
      </c>
    </row>
    <row r="217" spans="2:4" x14ac:dyDescent="0.3">
      <c r="B217" s="39" t="s">
        <v>1024</v>
      </c>
      <c r="C217" s="40" t="s">
        <v>295</v>
      </c>
      <c r="D217" s="40" t="s">
        <v>289</v>
      </c>
    </row>
    <row r="218" spans="2:4" x14ac:dyDescent="0.3">
      <c r="B218" s="41" t="s">
        <v>1025</v>
      </c>
      <c r="C218" s="42" t="s">
        <v>296</v>
      </c>
      <c r="D218" s="42" t="s">
        <v>289</v>
      </c>
    </row>
    <row r="219" spans="2:4" x14ac:dyDescent="0.3">
      <c r="B219" s="39" t="s">
        <v>1026</v>
      </c>
      <c r="C219" s="40" t="s">
        <v>297</v>
      </c>
      <c r="D219" s="40" t="s">
        <v>289</v>
      </c>
    </row>
    <row r="220" spans="2:4" x14ac:dyDescent="0.3">
      <c r="B220" s="41" t="s">
        <v>1027</v>
      </c>
      <c r="C220" s="42" t="s">
        <v>298</v>
      </c>
      <c r="D220" s="42" t="s">
        <v>289</v>
      </c>
    </row>
    <row r="221" spans="2:4" x14ac:dyDescent="0.3">
      <c r="B221" s="39" t="s">
        <v>1028</v>
      </c>
      <c r="C221" s="40" t="s">
        <v>299</v>
      </c>
      <c r="D221" s="40" t="s">
        <v>289</v>
      </c>
    </row>
    <row r="222" spans="2:4" x14ac:dyDescent="0.3">
      <c r="B222" s="41" t="s">
        <v>1029</v>
      </c>
      <c r="C222" s="42" t="s">
        <v>300</v>
      </c>
      <c r="D222" s="42" t="s">
        <v>289</v>
      </c>
    </row>
    <row r="223" spans="2:4" x14ac:dyDescent="0.3">
      <c r="B223" s="39" t="s">
        <v>1030</v>
      </c>
      <c r="C223" s="40" t="s">
        <v>301</v>
      </c>
      <c r="D223" s="40" t="s">
        <v>289</v>
      </c>
    </row>
    <row r="224" spans="2:4" x14ac:dyDescent="0.3">
      <c r="B224" s="41" t="s">
        <v>1031</v>
      </c>
      <c r="C224" s="42" t="s">
        <v>302</v>
      </c>
      <c r="D224" s="42" t="s">
        <v>289</v>
      </c>
    </row>
    <row r="225" spans="2:4" x14ac:dyDescent="0.3">
      <c r="B225" s="39" t="s">
        <v>1032</v>
      </c>
      <c r="C225" s="40" t="s">
        <v>303</v>
      </c>
      <c r="D225" s="40" t="s">
        <v>289</v>
      </c>
    </row>
    <row r="226" spans="2:4" x14ac:dyDescent="0.3">
      <c r="B226" s="41" t="s">
        <v>1033</v>
      </c>
      <c r="C226" s="42" t="s">
        <v>304</v>
      </c>
      <c r="D226" s="42" t="s">
        <v>289</v>
      </c>
    </row>
    <row r="227" spans="2:4" x14ac:dyDescent="0.3">
      <c r="B227" s="39" t="s">
        <v>1034</v>
      </c>
      <c r="C227" s="40" t="s">
        <v>305</v>
      </c>
      <c r="D227" s="40" t="s">
        <v>289</v>
      </c>
    </row>
    <row r="228" spans="2:4" x14ac:dyDescent="0.3">
      <c r="B228" s="41" t="s">
        <v>1035</v>
      </c>
      <c r="C228" s="42" t="s">
        <v>306</v>
      </c>
      <c r="D228" s="42" t="s">
        <v>289</v>
      </c>
    </row>
    <row r="229" spans="2:4" x14ac:dyDescent="0.3">
      <c r="B229" s="39" t="s">
        <v>1036</v>
      </c>
      <c r="C229" s="40" t="s">
        <v>307</v>
      </c>
      <c r="D229" s="40" t="s">
        <v>289</v>
      </c>
    </row>
    <row r="230" spans="2:4" x14ac:dyDescent="0.3">
      <c r="B230" s="41" t="s">
        <v>1037</v>
      </c>
      <c r="C230" s="42"/>
      <c r="D230" s="42" t="s">
        <v>289</v>
      </c>
    </row>
    <row r="231" spans="2:4" x14ac:dyDescent="0.3">
      <c r="B231" s="39" t="s">
        <v>1038</v>
      </c>
      <c r="C231" s="40"/>
      <c r="D231" s="40" t="s">
        <v>289</v>
      </c>
    </row>
    <row r="232" spans="2:4" x14ac:dyDescent="0.3">
      <c r="B232" s="41" t="s">
        <v>1039</v>
      </c>
      <c r="C232" s="42"/>
      <c r="D232" s="42" t="s">
        <v>289</v>
      </c>
    </row>
    <row r="233" spans="2:4" x14ac:dyDescent="0.3">
      <c r="B233" s="39" t="s">
        <v>1040</v>
      </c>
      <c r="C233" s="40"/>
      <c r="D233" s="40" t="s">
        <v>289</v>
      </c>
    </row>
    <row r="234" spans="2:4" x14ac:dyDescent="0.3">
      <c r="B234" s="41" t="s">
        <v>1041</v>
      </c>
      <c r="C234" s="42"/>
      <c r="D234" s="42" t="s">
        <v>289</v>
      </c>
    </row>
    <row r="235" spans="2:4" x14ac:dyDescent="0.3">
      <c r="B235" s="39" t="s">
        <v>961</v>
      </c>
      <c r="C235" s="40" t="s">
        <v>308</v>
      </c>
      <c r="D235" s="40" t="s">
        <v>71</v>
      </c>
    </row>
    <row r="236" spans="2:4" x14ac:dyDescent="0.3">
      <c r="B236" s="41" t="s">
        <v>962</v>
      </c>
      <c r="C236" s="42" t="s">
        <v>309</v>
      </c>
      <c r="D236" s="42" t="s">
        <v>71</v>
      </c>
    </row>
    <row r="237" spans="2:4" x14ac:dyDescent="0.3">
      <c r="B237" s="39" t="s">
        <v>963</v>
      </c>
      <c r="C237" s="40" t="s">
        <v>310</v>
      </c>
      <c r="D237" s="40" t="s">
        <v>71</v>
      </c>
    </row>
    <row r="238" spans="2:4" x14ac:dyDescent="0.3">
      <c r="B238" s="41" t="s">
        <v>964</v>
      </c>
      <c r="C238" s="42" t="s">
        <v>311</v>
      </c>
      <c r="D238" s="42" t="s">
        <v>71</v>
      </c>
    </row>
    <row r="239" spans="2:4" x14ac:dyDescent="0.3">
      <c r="B239" s="39" t="s">
        <v>965</v>
      </c>
      <c r="C239" s="40" t="s">
        <v>312</v>
      </c>
      <c r="D239" s="40" t="s">
        <v>71</v>
      </c>
    </row>
    <row r="240" spans="2:4" x14ac:dyDescent="0.3">
      <c r="B240" s="41" t="s">
        <v>966</v>
      </c>
      <c r="C240" s="42" t="s">
        <v>313</v>
      </c>
      <c r="D240" s="42" t="s">
        <v>71</v>
      </c>
    </row>
    <row r="241" spans="2:4" x14ac:dyDescent="0.3">
      <c r="B241" s="39" t="s">
        <v>967</v>
      </c>
      <c r="C241" s="40" t="s">
        <v>314</v>
      </c>
      <c r="D241" s="40" t="s">
        <v>71</v>
      </c>
    </row>
    <row r="242" spans="2:4" x14ac:dyDescent="0.3">
      <c r="B242" s="41" t="s">
        <v>968</v>
      </c>
      <c r="C242" s="42" t="s">
        <v>315</v>
      </c>
      <c r="D242" s="42" t="s">
        <v>71</v>
      </c>
    </row>
    <row r="243" spans="2:4" x14ac:dyDescent="0.3">
      <c r="B243" s="39" t="s">
        <v>969</v>
      </c>
      <c r="C243" s="40" t="s">
        <v>316</v>
      </c>
      <c r="D243" s="40" t="s">
        <v>71</v>
      </c>
    </row>
    <row r="244" spans="2:4" x14ac:dyDescent="0.3">
      <c r="B244" s="41" t="s">
        <v>970</v>
      </c>
      <c r="C244" s="42" t="s">
        <v>317</v>
      </c>
      <c r="D244" s="42" t="s">
        <v>71</v>
      </c>
    </row>
    <row r="245" spans="2:4" x14ac:dyDescent="0.3">
      <c r="B245" s="39" t="s">
        <v>971</v>
      </c>
      <c r="C245" s="40" t="s">
        <v>318</v>
      </c>
      <c r="D245" s="40" t="s">
        <v>71</v>
      </c>
    </row>
    <row r="246" spans="2:4" x14ac:dyDescent="0.3">
      <c r="B246" s="41" t="s">
        <v>972</v>
      </c>
      <c r="C246" s="42" t="s">
        <v>319</v>
      </c>
      <c r="D246" s="42" t="s">
        <v>71</v>
      </c>
    </row>
    <row r="247" spans="2:4" x14ac:dyDescent="0.3">
      <c r="B247" s="39" t="s">
        <v>973</v>
      </c>
      <c r="C247" s="40" t="s">
        <v>320</v>
      </c>
      <c r="D247" s="40" t="s">
        <v>71</v>
      </c>
    </row>
    <row r="248" spans="2:4" x14ac:dyDescent="0.3">
      <c r="B248" s="41" t="s">
        <v>974</v>
      </c>
      <c r="C248" s="42" t="s">
        <v>321</v>
      </c>
      <c r="D248" s="42" t="s">
        <v>71</v>
      </c>
    </row>
    <row r="249" spans="2:4" x14ac:dyDescent="0.3">
      <c r="B249" s="39" t="s">
        <v>975</v>
      </c>
      <c r="C249" s="40" t="s">
        <v>322</v>
      </c>
      <c r="D249" s="40" t="s">
        <v>71</v>
      </c>
    </row>
    <row r="250" spans="2:4" x14ac:dyDescent="0.3">
      <c r="B250" s="41" t="s">
        <v>976</v>
      </c>
      <c r="C250" s="42" t="s">
        <v>323</v>
      </c>
      <c r="D250" s="42" t="s">
        <v>71</v>
      </c>
    </row>
    <row r="251" spans="2:4" x14ac:dyDescent="0.3">
      <c r="B251" s="39" t="s">
        <v>977</v>
      </c>
      <c r="C251" s="40" t="s">
        <v>324</v>
      </c>
      <c r="D251" s="40" t="s">
        <v>71</v>
      </c>
    </row>
    <row r="252" spans="2:4" x14ac:dyDescent="0.3">
      <c r="B252" s="41" t="s">
        <v>977</v>
      </c>
      <c r="C252" s="42" t="s">
        <v>326</v>
      </c>
      <c r="D252" s="42" t="s">
        <v>71</v>
      </c>
    </row>
    <row r="253" spans="2:4" x14ac:dyDescent="0.3">
      <c r="B253" s="39" t="s">
        <v>978</v>
      </c>
      <c r="C253" s="40" t="s">
        <v>325</v>
      </c>
      <c r="D253" s="40" t="s">
        <v>71</v>
      </c>
    </row>
    <row r="254" spans="2:4" x14ac:dyDescent="0.3">
      <c r="B254" s="41" t="s">
        <v>979</v>
      </c>
      <c r="C254" s="42" t="s">
        <v>327</v>
      </c>
      <c r="D254" s="42" t="s">
        <v>71</v>
      </c>
    </row>
    <row r="255" spans="2:4" x14ac:dyDescent="0.3">
      <c r="B255" s="39" t="s">
        <v>980</v>
      </c>
      <c r="C255" s="40" t="s">
        <v>328</v>
      </c>
      <c r="D255" s="40" t="s">
        <v>71</v>
      </c>
    </row>
    <row r="256" spans="2:4" x14ac:dyDescent="0.3">
      <c r="B256" s="41" t="s">
        <v>981</v>
      </c>
      <c r="C256" s="42" t="s">
        <v>329</v>
      </c>
      <c r="D256" s="42" t="s">
        <v>71</v>
      </c>
    </row>
    <row r="257" spans="2:4" x14ac:dyDescent="0.3">
      <c r="B257" s="39" t="s">
        <v>982</v>
      </c>
      <c r="C257" s="40" t="s">
        <v>330</v>
      </c>
      <c r="D257" s="40" t="s">
        <v>71</v>
      </c>
    </row>
    <row r="258" spans="2:4" x14ac:dyDescent="0.3">
      <c r="B258" s="41" t="s">
        <v>983</v>
      </c>
      <c r="C258" s="42" t="s">
        <v>331</v>
      </c>
      <c r="D258" s="42" t="s">
        <v>71</v>
      </c>
    </row>
    <row r="259" spans="2:4" x14ac:dyDescent="0.3">
      <c r="B259" s="39" t="s">
        <v>984</v>
      </c>
      <c r="C259" s="40" t="s">
        <v>332</v>
      </c>
      <c r="D259" s="40" t="s">
        <v>71</v>
      </c>
    </row>
    <row r="260" spans="2:4" x14ac:dyDescent="0.3">
      <c r="B260" s="41" t="s">
        <v>985</v>
      </c>
      <c r="C260" s="42"/>
      <c r="D260" s="42" t="s">
        <v>71</v>
      </c>
    </row>
    <row r="261" spans="2:4" x14ac:dyDescent="0.3">
      <c r="B261" s="39" t="s">
        <v>986</v>
      </c>
      <c r="C261" s="40"/>
      <c r="D261" s="40" t="s">
        <v>71</v>
      </c>
    </row>
    <row r="262" spans="2:4" x14ac:dyDescent="0.3">
      <c r="B262" s="41" t="s">
        <v>987</v>
      </c>
      <c r="C262" s="42"/>
      <c r="D262" s="42" t="s">
        <v>71</v>
      </c>
    </row>
    <row r="263" spans="2:4" x14ac:dyDescent="0.3">
      <c r="B263" s="39" t="s">
        <v>988</v>
      </c>
      <c r="C263" s="40"/>
      <c r="D263" s="40" t="s">
        <v>71</v>
      </c>
    </row>
    <row r="264" spans="2:4" x14ac:dyDescent="0.3">
      <c r="B264" s="41" t="s">
        <v>706</v>
      </c>
      <c r="C264" s="42" t="s">
        <v>333</v>
      </c>
      <c r="D264" s="42" t="s">
        <v>334</v>
      </c>
    </row>
    <row r="265" spans="2:4" x14ac:dyDescent="0.3">
      <c r="B265" s="39" t="s">
        <v>707</v>
      </c>
      <c r="C265" s="40" t="s">
        <v>335</v>
      </c>
      <c r="D265" s="40" t="s">
        <v>334</v>
      </c>
    </row>
    <row r="266" spans="2:4" x14ac:dyDescent="0.3">
      <c r="B266" s="41" t="s">
        <v>708</v>
      </c>
      <c r="C266" s="42" t="s">
        <v>336</v>
      </c>
      <c r="D266" s="42" t="s">
        <v>334</v>
      </c>
    </row>
    <row r="267" spans="2:4" x14ac:dyDescent="0.3">
      <c r="B267" s="39" t="s">
        <v>709</v>
      </c>
      <c r="C267" s="40" t="s">
        <v>337</v>
      </c>
      <c r="D267" s="40" t="s">
        <v>334</v>
      </c>
    </row>
    <row r="268" spans="2:4" x14ac:dyDescent="0.3">
      <c r="B268" s="41" t="s">
        <v>710</v>
      </c>
      <c r="C268" s="42" t="s">
        <v>338</v>
      </c>
      <c r="D268" s="42" t="s">
        <v>334</v>
      </c>
    </row>
    <row r="269" spans="2:4" x14ac:dyDescent="0.3">
      <c r="B269" s="39" t="s">
        <v>711</v>
      </c>
      <c r="C269" s="40" t="s">
        <v>339</v>
      </c>
      <c r="D269" s="40" t="s">
        <v>334</v>
      </c>
    </row>
    <row r="270" spans="2:4" x14ac:dyDescent="0.3">
      <c r="B270" s="41" t="s">
        <v>712</v>
      </c>
      <c r="C270" s="42" t="s">
        <v>340</v>
      </c>
      <c r="D270" s="42" t="s">
        <v>334</v>
      </c>
    </row>
    <row r="271" spans="2:4" x14ac:dyDescent="0.3">
      <c r="B271" s="39" t="s">
        <v>713</v>
      </c>
      <c r="C271" s="40" t="s">
        <v>341</v>
      </c>
      <c r="D271" s="40" t="s">
        <v>334</v>
      </c>
    </row>
    <row r="272" spans="2:4" x14ac:dyDescent="0.3">
      <c r="B272" s="41" t="s">
        <v>717</v>
      </c>
      <c r="C272" s="42" t="s">
        <v>342</v>
      </c>
      <c r="D272" s="42" t="s">
        <v>334</v>
      </c>
    </row>
    <row r="273" spans="2:4" x14ac:dyDescent="0.3">
      <c r="B273" s="39" t="s">
        <v>825</v>
      </c>
      <c r="C273" s="40" t="s">
        <v>343</v>
      </c>
      <c r="D273" s="40" t="s">
        <v>334</v>
      </c>
    </row>
    <row r="274" spans="2:4" x14ac:dyDescent="0.3">
      <c r="B274" s="41" t="s">
        <v>826</v>
      </c>
      <c r="C274" s="42" t="s">
        <v>344</v>
      </c>
      <c r="D274" s="42" t="s">
        <v>334</v>
      </c>
    </row>
    <row r="275" spans="2:4" x14ac:dyDescent="0.3">
      <c r="B275" s="39" t="s">
        <v>827</v>
      </c>
      <c r="C275" s="40" t="s">
        <v>345</v>
      </c>
      <c r="D275" s="40" t="s">
        <v>334</v>
      </c>
    </row>
    <row r="276" spans="2:4" x14ac:dyDescent="0.3">
      <c r="B276" s="41" t="s">
        <v>828</v>
      </c>
      <c r="C276" s="42" t="s">
        <v>346</v>
      </c>
      <c r="D276" s="42" t="s">
        <v>334</v>
      </c>
    </row>
    <row r="277" spans="2:4" x14ac:dyDescent="0.3">
      <c r="B277" s="39" t="s">
        <v>829</v>
      </c>
      <c r="C277" s="40" t="s">
        <v>347</v>
      </c>
      <c r="D277" s="40" t="s">
        <v>334</v>
      </c>
    </row>
    <row r="278" spans="2:4" x14ac:dyDescent="0.3">
      <c r="B278" s="41" t="s">
        <v>830</v>
      </c>
      <c r="C278" s="42" t="s">
        <v>348</v>
      </c>
      <c r="D278" s="42" t="s">
        <v>334</v>
      </c>
    </row>
    <row r="279" spans="2:4" x14ac:dyDescent="0.3">
      <c r="B279" s="39" t="s">
        <v>831</v>
      </c>
      <c r="C279" s="40" t="s">
        <v>349</v>
      </c>
      <c r="D279" s="40" t="s">
        <v>334</v>
      </c>
    </row>
    <row r="280" spans="2:4" x14ac:dyDescent="0.3">
      <c r="B280" s="41" t="s">
        <v>832</v>
      </c>
      <c r="C280" s="42" t="s">
        <v>350</v>
      </c>
      <c r="D280" s="42" t="s">
        <v>334</v>
      </c>
    </row>
    <row r="281" spans="2:4" x14ac:dyDescent="0.3">
      <c r="B281" s="39" t="s">
        <v>833</v>
      </c>
      <c r="C281" s="40" t="s">
        <v>351</v>
      </c>
      <c r="D281" s="40" t="s">
        <v>334</v>
      </c>
    </row>
    <row r="282" spans="2:4" x14ac:dyDescent="0.3">
      <c r="B282" s="41" t="s">
        <v>834</v>
      </c>
      <c r="C282" s="42" t="s">
        <v>352</v>
      </c>
      <c r="D282" s="42" t="s">
        <v>334</v>
      </c>
    </row>
    <row r="283" spans="2:4" x14ac:dyDescent="0.3">
      <c r="B283" s="39" t="s">
        <v>835</v>
      </c>
      <c r="C283" s="40" t="s">
        <v>353</v>
      </c>
      <c r="D283" s="40" t="s">
        <v>334</v>
      </c>
    </row>
    <row r="284" spans="2:4" x14ac:dyDescent="0.3">
      <c r="B284" s="41" t="s">
        <v>836</v>
      </c>
      <c r="C284" s="42" t="s">
        <v>354</v>
      </c>
      <c r="D284" s="42" t="s">
        <v>334</v>
      </c>
    </row>
    <row r="285" spans="2:4" x14ac:dyDescent="0.3">
      <c r="B285" s="39" t="s">
        <v>837</v>
      </c>
      <c r="C285" s="40" t="s">
        <v>355</v>
      </c>
      <c r="D285" s="40" t="s">
        <v>334</v>
      </c>
    </row>
    <row r="286" spans="2:4" x14ac:dyDescent="0.3">
      <c r="B286" s="41" t="s">
        <v>838</v>
      </c>
      <c r="C286" s="42" t="s">
        <v>356</v>
      </c>
      <c r="D286" s="42" t="s">
        <v>334</v>
      </c>
    </row>
    <row r="287" spans="2:4" x14ac:dyDescent="0.3">
      <c r="B287" s="39" t="s">
        <v>839</v>
      </c>
      <c r="C287" s="40" t="s">
        <v>357</v>
      </c>
      <c r="D287" s="40" t="s">
        <v>334</v>
      </c>
    </row>
    <row r="288" spans="2:4" x14ac:dyDescent="0.3">
      <c r="B288" s="41" t="s">
        <v>840</v>
      </c>
      <c r="C288" s="42" t="s">
        <v>358</v>
      </c>
      <c r="D288" s="42" t="s">
        <v>334</v>
      </c>
    </row>
    <row r="289" spans="2:4" x14ac:dyDescent="0.3">
      <c r="B289" s="39" t="s">
        <v>841</v>
      </c>
      <c r="C289" s="40" t="s">
        <v>359</v>
      </c>
      <c r="D289" s="40" t="s">
        <v>334</v>
      </c>
    </row>
    <row r="290" spans="2:4" x14ac:dyDescent="0.3">
      <c r="B290" s="41" t="s">
        <v>842</v>
      </c>
      <c r="C290" s="42" t="s">
        <v>360</v>
      </c>
      <c r="D290" s="42" t="s">
        <v>334</v>
      </c>
    </row>
    <row r="291" spans="2:4" x14ac:dyDescent="0.3">
      <c r="B291" s="39" t="s">
        <v>843</v>
      </c>
      <c r="C291" s="40" t="s">
        <v>361</v>
      </c>
      <c r="D291" s="40" t="s">
        <v>334</v>
      </c>
    </row>
    <row r="292" spans="2:4" x14ac:dyDescent="0.3">
      <c r="B292" s="41" t="s">
        <v>844</v>
      </c>
      <c r="C292" s="42" t="s">
        <v>46</v>
      </c>
      <c r="D292" s="42" t="s">
        <v>334</v>
      </c>
    </row>
    <row r="293" spans="2:4" x14ac:dyDescent="0.3">
      <c r="B293" s="39" t="s">
        <v>845</v>
      </c>
      <c r="C293" s="40" t="s">
        <v>362</v>
      </c>
      <c r="D293" s="40" t="s">
        <v>334</v>
      </c>
    </row>
    <row r="294" spans="2:4" x14ac:dyDescent="0.3">
      <c r="B294" s="41" t="s">
        <v>846</v>
      </c>
      <c r="C294" s="42" t="s">
        <v>363</v>
      </c>
      <c r="D294" s="42" t="s">
        <v>334</v>
      </c>
    </row>
    <row r="295" spans="2:4" x14ac:dyDescent="0.3">
      <c r="B295" s="39" t="s">
        <v>847</v>
      </c>
      <c r="C295" s="40" t="s">
        <v>364</v>
      </c>
      <c r="D295" s="40" t="s">
        <v>334</v>
      </c>
    </row>
    <row r="296" spans="2:4" x14ac:dyDescent="0.3">
      <c r="B296" s="41" t="s">
        <v>848</v>
      </c>
      <c r="C296" s="42" t="s">
        <v>365</v>
      </c>
      <c r="D296" s="42" t="s">
        <v>334</v>
      </c>
    </row>
    <row r="297" spans="2:4" x14ac:dyDescent="0.3">
      <c r="B297" s="39" t="s">
        <v>849</v>
      </c>
      <c r="C297" s="40" t="s">
        <v>366</v>
      </c>
      <c r="D297" s="40" t="s">
        <v>334</v>
      </c>
    </row>
    <row r="298" spans="2:4" x14ac:dyDescent="0.3">
      <c r="B298" s="41" t="s">
        <v>850</v>
      </c>
      <c r="C298" s="42" t="s">
        <v>367</v>
      </c>
      <c r="D298" s="42" t="s">
        <v>334</v>
      </c>
    </row>
    <row r="299" spans="2:4" x14ac:dyDescent="0.3">
      <c r="B299" s="39" t="s">
        <v>851</v>
      </c>
      <c r="C299" s="40" t="s">
        <v>368</v>
      </c>
      <c r="D299" s="40" t="s">
        <v>334</v>
      </c>
    </row>
    <row r="300" spans="2:4" x14ac:dyDescent="0.3">
      <c r="B300" s="41" t="s">
        <v>852</v>
      </c>
      <c r="C300" s="42" t="s">
        <v>369</v>
      </c>
      <c r="D300" s="42" t="s">
        <v>334</v>
      </c>
    </row>
    <row r="301" spans="2:4" x14ac:dyDescent="0.3">
      <c r="B301" s="39" t="s">
        <v>853</v>
      </c>
      <c r="C301" s="40" t="s">
        <v>370</v>
      </c>
      <c r="D301" s="40" t="s">
        <v>334</v>
      </c>
    </row>
    <row r="302" spans="2:4" x14ac:dyDescent="0.3">
      <c r="B302" s="41" t="s">
        <v>867</v>
      </c>
      <c r="C302" s="42" t="s">
        <v>384</v>
      </c>
      <c r="D302" s="42" t="s">
        <v>334</v>
      </c>
    </row>
    <row r="303" spans="2:4" x14ac:dyDescent="0.3">
      <c r="B303" s="39" t="s">
        <v>854</v>
      </c>
      <c r="C303" s="40" t="s">
        <v>371</v>
      </c>
      <c r="D303" s="40" t="s">
        <v>334</v>
      </c>
    </row>
    <row r="304" spans="2:4" x14ac:dyDescent="0.3">
      <c r="B304" s="41" t="s">
        <v>855</v>
      </c>
      <c r="C304" s="42" t="s">
        <v>372</v>
      </c>
      <c r="D304" s="42" t="s">
        <v>334</v>
      </c>
    </row>
    <row r="305" spans="2:4" x14ac:dyDescent="0.3">
      <c r="B305" s="39" t="s">
        <v>856</v>
      </c>
      <c r="C305" s="40" t="s">
        <v>373</v>
      </c>
      <c r="D305" s="40" t="s">
        <v>334</v>
      </c>
    </row>
    <row r="306" spans="2:4" x14ac:dyDescent="0.3">
      <c r="B306" s="41" t="s">
        <v>857</v>
      </c>
      <c r="C306" s="42" t="s">
        <v>374</v>
      </c>
      <c r="D306" s="42" t="s">
        <v>334</v>
      </c>
    </row>
    <row r="307" spans="2:4" x14ac:dyDescent="0.3">
      <c r="B307" s="39" t="s">
        <v>858</v>
      </c>
      <c r="C307" s="40" t="s">
        <v>375</v>
      </c>
      <c r="D307" s="40" t="s">
        <v>334</v>
      </c>
    </row>
    <row r="308" spans="2:4" x14ac:dyDescent="0.3">
      <c r="B308" s="41" t="s">
        <v>859</v>
      </c>
      <c r="C308" s="42" t="s">
        <v>376</v>
      </c>
      <c r="D308" s="42" t="s">
        <v>334</v>
      </c>
    </row>
    <row r="309" spans="2:4" x14ac:dyDescent="0.3">
      <c r="B309" s="39" t="s">
        <v>860</v>
      </c>
      <c r="C309" s="40" t="s">
        <v>377</v>
      </c>
      <c r="D309" s="40" t="s">
        <v>334</v>
      </c>
    </row>
    <row r="310" spans="2:4" x14ac:dyDescent="0.3">
      <c r="B310" s="41" t="s">
        <v>861</v>
      </c>
      <c r="C310" s="42" t="s">
        <v>378</v>
      </c>
      <c r="D310" s="42" t="s">
        <v>334</v>
      </c>
    </row>
    <row r="311" spans="2:4" x14ac:dyDescent="0.3">
      <c r="B311" s="39" t="s">
        <v>862</v>
      </c>
      <c r="C311" s="40" t="s">
        <v>379</v>
      </c>
      <c r="D311" s="40" t="s">
        <v>334</v>
      </c>
    </row>
    <row r="312" spans="2:4" x14ac:dyDescent="0.3">
      <c r="B312" s="41" t="s">
        <v>863</v>
      </c>
      <c r="C312" s="42" t="s">
        <v>380</v>
      </c>
      <c r="D312" s="42" t="s">
        <v>334</v>
      </c>
    </row>
    <row r="313" spans="2:4" x14ac:dyDescent="0.3">
      <c r="B313" s="39" t="s">
        <v>864</v>
      </c>
      <c r="C313" s="40" t="s">
        <v>381</v>
      </c>
      <c r="D313" s="40" t="s">
        <v>334</v>
      </c>
    </row>
    <row r="314" spans="2:4" x14ac:dyDescent="0.3">
      <c r="B314" s="41" t="s">
        <v>865</v>
      </c>
      <c r="C314" s="42" t="s">
        <v>382</v>
      </c>
      <c r="D314" s="42" t="s">
        <v>334</v>
      </c>
    </row>
    <row r="315" spans="2:4" x14ac:dyDescent="0.3">
      <c r="B315" s="39" t="s">
        <v>866</v>
      </c>
      <c r="C315" s="40" t="s">
        <v>383</v>
      </c>
      <c r="D315" s="40" t="s">
        <v>334</v>
      </c>
    </row>
    <row r="316" spans="2:4" x14ac:dyDescent="0.3">
      <c r="B316" s="41" t="s">
        <v>868</v>
      </c>
      <c r="C316" s="42" t="s">
        <v>385</v>
      </c>
      <c r="D316" s="42" t="s">
        <v>334</v>
      </c>
    </row>
    <row r="317" spans="2:4" x14ac:dyDescent="0.3">
      <c r="B317" s="39" t="s">
        <v>869</v>
      </c>
      <c r="C317" s="40" t="s">
        <v>386</v>
      </c>
      <c r="D317" s="40" t="s">
        <v>334</v>
      </c>
    </row>
    <row r="318" spans="2:4" x14ac:dyDescent="0.3">
      <c r="B318" s="41" t="s">
        <v>870</v>
      </c>
      <c r="C318" s="42" t="s">
        <v>387</v>
      </c>
      <c r="D318" s="42" t="s">
        <v>334</v>
      </c>
    </row>
    <row r="319" spans="2:4" x14ac:dyDescent="0.3">
      <c r="B319" s="39" t="s">
        <v>871</v>
      </c>
      <c r="C319" s="40" t="s">
        <v>388</v>
      </c>
      <c r="D319" s="40" t="s">
        <v>334</v>
      </c>
    </row>
    <row r="320" spans="2:4" x14ac:dyDescent="0.3">
      <c r="B320" s="41" t="s">
        <v>872</v>
      </c>
      <c r="C320" s="42" t="s">
        <v>389</v>
      </c>
      <c r="D320" s="42" t="s">
        <v>334</v>
      </c>
    </row>
    <row r="321" spans="2:4" x14ac:dyDescent="0.3">
      <c r="B321" s="39" t="s">
        <v>873</v>
      </c>
      <c r="C321" s="40" t="s">
        <v>390</v>
      </c>
      <c r="D321" s="40" t="s">
        <v>334</v>
      </c>
    </row>
    <row r="322" spans="2:4" x14ac:dyDescent="0.3">
      <c r="B322" s="41" t="s">
        <v>874</v>
      </c>
      <c r="C322" s="42" t="s">
        <v>684</v>
      </c>
      <c r="D322" s="42" t="s">
        <v>334</v>
      </c>
    </row>
    <row r="323" spans="2:4" x14ac:dyDescent="0.3">
      <c r="B323" s="39" t="s">
        <v>875</v>
      </c>
      <c r="C323" s="40" t="s">
        <v>391</v>
      </c>
      <c r="D323" s="40" t="s">
        <v>334</v>
      </c>
    </row>
    <row r="324" spans="2:4" x14ac:dyDescent="0.3">
      <c r="B324" s="41" t="s">
        <v>876</v>
      </c>
      <c r="C324" s="42" t="s">
        <v>392</v>
      </c>
      <c r="D324" s="42" t="s">
        <v>334</v>
      </c>
    </row>
    <row r="325" spans="2:4" x14ac:dyDescent="0.3">
      <c r="B325" s="39" t="s">
        <v>877</v>
      </c>
      <c r="C325" s="40" t="s">
        <v>393</v>
      </c>
      <c r="D325" s="40" t="s">
        <v>334</v>
      </c>
    </row>
    <row r="326" spans="2:4" x14ac:dyDescent="0.3">
      <c r="B326" s="41" t="s">
        <v>878</v>
      </c>
      <c r="C326" s="42" t="s">
        <v>394</v>
      </c>
      <c r="D326" s="42" t="s">
        <v>334</v>
      </c>
    </row>
    <row r="327" spans="2:4" x14ac:dyDescent="0.3">
      <c r="B327" s="39" t="s">
        <v>879</v>
      </c>
      <c r="C327" s="40" t="s">
        <v>395</v>
      </c>
      <c r="D327" s="40" t="s">
        <v>334</v>
      </c>
    </row>
    <row r="328" spans="2:4" x14ac:dyDescent="0.3">
      <c r="B328" s="41" t="s">
        <v>880</v>
      </c>
      <c r="C328" s="42" t="s">
        <v>396</v>
      </c>
      <c r="D328" s="42" t="s">
        <v>334</v>
      </c>
    </row>
    <row r="329" spans="2:4" x14ac:dyDescent="0.3">
      <c r="B329" s="39" t="s">
        <v>881</v>
      </c>
      <c r="C329" s="40"/>
      <c r="D329" s="40" t="s">
        <v>334</v>
      </c>
    </row>
    <row r="330" spans="2:4" x14ac:dyDescent="0.3">
      <c r="B330" s="41" t="s">
        <v>882</v>
      </c>
      <c r="C330" s="42"/>
      <c r="D330" s="42" t="s">
        <v>334</v>
      </c>
    </row>
    <row r="331" spans="2:4" x14ac:dyDescent="0.3">
      <c r="B331" s="39" t="s">
        <v>883</v>
      </c>
      <c r="C331" s="40"/>
      <c r="D331" s="40" t="s">
        <v>334</v>
      </c>
    </row>
    <row r="332" spans="2:4" x14ac:dyDescent="0.3">
      <c r="B332" s="41" t="s">
        <v>884</v>
      </c>
      <c r="C332" s="42"/>
      <c r="D332" s="42" t="s">
        <v>334</v>
      </c>
    </row>
    <row r="333" spans="2:4" x14ac:dyDescent="0.3">
      <c r="B333" s="39" t="s">
        <v>949</v>
      </c>
      <c r="C333" s="40" t="s">
        <v>397</v>
      </c>
      <c r="D333" s="40" t="s">
        <v>398</v>
      </c>
    </row>
    <row r="334" spans="2:4" x14ac:dyDescent="0.3">
      <c r="B334" s="41" t="s">
        <v>950</v>
      </c>
      <c r="C334" s="42" t="s">
        <v>399</v>
      </c>
      <c r="D334" s="42" t="s">
        <v>398</v>
      </c>
    </row>
    <row r="335" spans="2:4" x14ac:dyDescent="0.3">
      <c r="B335" s="39" t="s">
        <v>951</v>
      </c>
      <c r="C335" s="40" t="s">
        <v>400</v>
      </c>
      <c r="D335" s="40" t="s">
        <v>398</v>
      </c>
    </row>
    <row r="336" spans="2:4" x14ac:dyDescent="0.3">
      <c r="B336" s="41" t="s">
        <v>952</v>
      </c>
      <c r="C336" s="42" t="s">
        <v>401</v>
      </c>
      <c r="D336" s="42" t="s">
        <v>398</v>
      </c>
    </row>
    <row r="337" spans="2:4" x14ac:dyDescent="0.3">
      <c r="B337" s="39" t="s">
        <v>953</v>
      </c>
      <c r="C337" s="40" t="s">
        <v>402</v>
      </c>
      <c r="D337" s="40" t="s">
        <v>398</v>
      </c>
    </row>
    <row r="338" spans="2:4" x14ac:dyDescent="0.3">
      <c r="B338" s="41" t="s">
        <v>954</v>
      </c>
      <c r="C338" s="42" t="s">
        <v>403</v>
      </c>
      <c r="D338" s="42" t="s">
        <v>398</v>
      </c>
    </row>
    <row r="339" spans="2:4" x14ac:dyDescent="0.3">
      <c r="B339" s="39" t="s">
        <v>955</v>
      </c>
      <c r="C339" s="40" t="s">
        <v>404</v>
      </c>
      <c r="D339" s="40" t="s">
        <v>398</v>
      </c>
    </row>
    <row r="340" spans="2:4" x14ac:dyDescent="0.3">
      <c r="B340" s="41" t="s">
        <v>956</v>
      </c>
      <c r="C340" s="42" t="s">
        <v>405</v>
      </c>
      <c r="D340" s="42" t="s">
        <v>398</v>
      </c>
    </row>
    <row r="341" spans="2:4" x14ac:dyDescent="0.3">
      <c r="B341" s="39" t="s">
        <v>957</v>
      </c>
      <c r="C341" s="40" t="s">
        <v>406</v>
      </c>
      <c r="D341" s="40" t="s">
        <v>398</v>
      </c>
    </row>
    <row r="342" spans="2:4" x14ac:dyDescent="0.3">
      <c r="B342" s="41" t="s">
        <v>958</v>
      </c>
      <c r="C342" s="42" t="s">
        <v>407</v>
      </c>
      <c r="D342" s="42" t="s">
        <v>398</v>
      </c>
    </row>
    <row r="343" spans="2:4" x14ac:dyDescent="0.3">
      <c r="B343" s="39" t="s">
        <v>959</v>
      </c>
      <c r="C343" s="40"/>
      <c r="D343" s="40" t="s">
        <v>398</v>
      </c>
    </row>
    <row r="344" spans="2:4" x14ac:dyDescent="0.3">
      <c r="B344" s="41" t="s">
        <v>960</v>
      </c>
      <c r="C344" s="42"/>
      <c r="D344" s="42" t="s">
        <v>398</v>
      </c>
    </row>
    <row r="345" spans="2:4" x14ac:dyDescent="0.3">
      <c r="B345" s="39" t="s">
        <v>916</v>
      </c>
      <c r="C345" s="40" t="s">
        <v>408</v>
      </c>
      <c r="D345" s="40" t="s">
        <v>76</v>
      </c>
    </row>
    <row r="346" spans="2:4" x14ac:dyDescent="0.3">
      <c r="B346" s="41" t="s">
        <v>917</v>
      </c>
      <c r="C346" s="42" t="s">
        <v>409</v>
      </c>
      <c r="D346" s="42" t="s">
        <v>76</v>
      </c>
    </row>
    <row r="347" spans="2:4" x14ac:dyDescent="0.3">
      <c r="B347" s="39" t="s">
        <v>918</v>
      </c>
      <c r="C347" s="40" t="s">
        <v>410</v>
      </c>
      <c r="D347" s="40" t="s">
        <v>76</v>
      </c>
    </row>
    <row r="348" spans="2:4" x14ac:dyDescent="0.3">
      <c r="B348" s="41" t="s">
        <v>919</v>
      </c>
      <c r="C348" s="42" t="s">
        <v>411</v>
      </c>
      <c r="D348" s="42" t="s">
        <v>76</v>
      </c>
    </row>
    <row r="349" spans="2:4" x14ac:dyDescent="0.3">
      <c r="B349" s="39" t="s">
        <v>920</v>
      </c>
      <c r="C349" s="40" t="s">
        <v>412</v>
      </c>
      <c r="D349" s="40" t="s">
        <v>76</v>
      </c>
    </row>
    <row r="350" spans="2:4" x14ac:dyDescent="0.3">
      <c r="B350" s="41" t="s">
        <v>921</v>
      </c>
      <c r="C350" s="42" t="s">
        <v>413</v>
      </c>
      <c r="D350" s="42" t="s">
        <v>76</v>
      </c>
    </row>
    <row r="351" spans="2:4" x14ac:dyDescent="0.3">
      <c r="B351" s="39" t="s">
        <v>922</v>
      </c>
      <c r="C351" s="40" t="s">
        <v>414</v>
      </c>
      <c r="D351" s="40" t="s">
        <v>76</v>
      </c>
    </row>
    <row r="352" spans="2:4" x14ac:dyDescent="0.3">
      <c r="B352" s="41" t="s">
        <v>923</v>
      </c>
      <c r="C352" s="42" t="s">
        <v>415</v>
      </c>
      <c r="D352" s="42" t="s">
        <v>76</v>
      </c>
    </row>
    <row r="353" spans="2:4" x14ac:dyDescent="0.3">
      <c r="B353" s="39" t="s">
        <v>924</v>
      </c>
      <c r="C353" s="40" t="s">
        <v>416</v>
      </c>
      <c r="D353" s="40" t="s">
        <v>76</v>
      </c>
    </row>
    <row r="354" spans="2:4" x14ac:dyDescent="0.3">
      <c r="B354" s="41" t="s">
        <v>925</v>
      </c>
      <c r="C354" s="42" t="s">
        <v>417</v>
      </c>
      <c r="D354" s="42" t="s">
        <v>76</v>
      </c>
    </row>
    <row r="355" spans="2:4" x14ac:dyDescent="0.3">
      <c r="B355" s="39" t="s">
        <v>926</v>
      </c>
      <c r="C355" s="40" t="s">
        <v>418</v>
      </c>
      <c r="D355" s="40" t="s">
        <v>76</v>
      </c>
    </row>
    <row r="356" spans="2:4" x14ac:dyDescent="0.3">
      <c r="B356" s="41" t="s">
        <v>927</v>
      </c>
      <c r="C356" s="42" t="s">
        <v>419</v>
      </c>
      <c r="D356" s="42" t="s">
        <v>76</v>
      </c>
    </row>
    <row r="357" spans="2:4" x14ac:dyDescent="0.3">
      <c r="B357" s="39" t="s">
        <v>928</v>
      </c>
      <c r="C357" s="40" t="s">
        <v>420</v>
      </c>
      <c r="D357" s="40" t="s">
        <v>76</v>
      </c>
    </row>
    <row r="358" spans="2:4" x14ac:dyDescent="0.3">
      <c r="B358" s="41" t="s">
        <v>929</v>
      </c>
      <c r="C358" s="42" t="s">
        <v>421</v>
      </c>
      <c r="D358" s="42" t="s">
        <v>76</v>
      </c>
    </row>
    <row r="359" spans="2:4" x14ac:dyDescent="0.3">
      <c r="B359" s="39" t="s">
        <v>930</v>
      </c>
      <c r="C359" s="40" t="s">
        <v>422</v>
      </c>
      <c r="D359" s="40" t="s">
        <v>76</v>
      </c>
    </row>
    <row r="360" spans="2:4" x14ac:dyDescent="0.3">
      <c r="B360" s="41" t="s">
        <v>931</v>
      </c>
      <c r="C360" s="42"/>
      <c r="D360" s="42" t="s">
        <v>76</v>
      </c>
    </row>
    <row r="361" spans="2:4" x14ac:dyDescent="0.3">
      <c r="B361" s="39" t="s">
        <v>932</v>
      </c>
      <c r="C361" s="40"/>
      <c r="D361" s="40" t="s">
        <v>76</v>
      </c>
    </row>
    <row r="362" spans="2:4" x14ac:dyDescent="0.3">
      <c r="B362" s="41" t="s">
        <v>933</v>
      </c>
      <c r="C362" s="42"/>
      <c r="D362" s="42" t="s">
        <v>76</v>
      </c>
    </row>
    <row r="363" spans="2:4" x14ac:dyDescent="0.3">
      <c r="B363" s="39" t="s">
        <v>934</v>
      </c>
      <c r="C363" s="40"/>
      <c r="D363" s="40" t="s">
        <v>76</v>
      </c>
    </row>
    <row r="364" spans="2:4" x14ac:dyDescent="0.3">
      <c r="B364" s="41" t="s">
        <v>714</v>
      </c>
      <c r="C364" s="42" t="s">
        <v>423</v>
      </c>
      <c r="D364" s="42" t="s">
        <v>57</v>
      </c>
    </row>
    <row r="365" spans="2:4" x14ac:dyDescent="0.3">
      <c r="B365" s="39" t="s">
        <v>715</v>
      </c>
      <c r="C365" s="40" t="s">
        <v>424</v>
      </c>
      <c r="D365" s="40" t="s">
        <v>57</v>
      </c>
    </row>
    <row r="366" spans="2:4" x14ac:dyDescent="0.3">
      <c r="B366" s="41" t="s">
        <v>998</v>
      </c>
      <c r="C366" s="42" t="s">
        <v>425</v>
      </c>
      <c r="D366" s="42" t="s">
        <v>57</v>
      </c>
    </row>
    <row r="367" spans="2:4" x14ac:dyDescent="0.3">
      <c r="B367" s="39" t="s">
        <v>999</v>
      </c>
      <c r="C367" s="40" t="s">
        <v>426</v>
      </c>
      <c r="D367" s="40" t="s">
        <v>57</v>
      </c>
    </row>
    <row r="368" spans="2:4" x14ac:dyDescent="0.3">
      <c r="B368" s="41" t="s">
        <v>1000</v>
      </c>
      <c r="C368" s="42" t="s">
        <v>427</v>
      </c>
      <c r="D368" s="42" t="s">
        <v>57</v>
      </c>
    </row>
    <row r="369" spans="2:4" x14ac:dyDescent="0.3">
      <c r="B369" s="39" t="s">
        <v>1001</v>
      </c>
      <c r="C369" s="40" t="s">
        <v>428</v>
      </c>
      <c r="D369" s="40" t="s">
        <v>57</v>
      </c>
    </row>
    <row r="370" spans="2:4" x14ac:dyDescent="0.3">
      <c r="B370" s="41" t="s">
        <v>1002</v>
      </c>
      <c r="C370" s="42" t="s">
        <v>429</v>
      </c>
      <c r="D370" s="42" t="s">
        <v>57</v>
      </c>
    </row>
    <row r="371" spans="2:4" x14ac:dyDescent="0.3">
      <c r="B371" s="39" t="s">
        <v>1003</v>
      </c>
      <c r="C371" s="40" t="s">
        <v>430</v>
      </c>
      <c r="D371" s="40" t="s">
        <v>57</v>
      </c>
    </row>
    <row r="372" spans="2:4" x14ac:dyDescent="0.3">
      <c r="B372" s="41" t="s">
        <v>1004</v>
      </c>
      <c r="C372" s="42" t="s">
        <v>431</v>
      </c>
      <c r="D372" s="42" t="s">
        <v>57</v>
      </c>
    </row>
    <row r="373" spans="2:4" x14ac:dyDescent="0.3">
      <c r="B373" s="39" t="s">
        <v>1005</v>
      </c>
      <c r="C373" s="40" t="s">
        <v>432</v>
      </c>
      <c r="D373" s="40" t="s">
        <v>57</v>
      </c>
    </row>
    <row r="374" spans="2:4" x14ac:dyDescent="0.3">
      <c r="B374" s="41" t="s">
        <v>1006</v>
      </c>
      <c r="C374" s="42" t="s">
        <v>433</v>
      </c>
      <c r="D374" s="42" t="s">
        <v>57</v>
      </c>
    </row>
    <row r="375" spans="2:4" x14ac:dyDescent="0.3">
      <c r="B375" s="39" t="s">
        <v>1007</v>
      </c>
      <c r="C375" s="40" t="s">
        <v>434</v>
      </c>
      <c r="D375" s="40" t="s">
        <v>57</v>
      </c>
    </row>
    <row r="376" spans="2:4" x14ac:dyDescent="0.3">
      <c r="B376" s="41" t="s">
        <v>1008</v>
      </c>
      <c r="C376" s="42" t="s">
        <v>435</v>
      </c>
      <c r="D376" s="42" t="s">
        <v>57</v>
      </c>
    </row>
    <row r="377" spans="2:4" x14ac:dyDescent="0.3">
      <c r="B377" s="39" t="s">
        <v>1009</v>
      </c>
      <c r="C377" s="40" t="s">
        <v>436</v>
      </c>
      <c r="D377" s="40" t="s">
        <v>57</v>
      </c>
    </row>
    <row r="378" spans="2:4" x14ac:dyDescent="0.3">
      <c r="B378" s="41" t="s">
        <v>1010</v>
      </c>
      <c r="C378" s="42" t="s">
        <v>437</v>
      </c>
      <c r="D378" s="42" t="s">
        <v>57</v>
      </c>
    </row>
    <row r="379" spans="2:4" x14ac:dyDescent="0.3">
      <c r="B379" s="39" t="s">
        <v>1011</v>
      </c>
      <c r="C379" s="40" t="s">
        <v>438</v>
      </c>
      <c r="D379" s="40" t="s">
        <v>57</v>
      </c>
    </row>
    <row r="380" spans="2:4" x14ac:dyDescent="0.3">
      <c r="B380" s="41" t="s">
        <v>1012</v>
      </c>
      <c r="C380" s="42" t="s">
        <v>439</v>
      </c>
      <c r="D380" s="42" t="s">
        <v>57</v>
      </c>
    </row>
    <row r="381" spans="2:4" x14ac:dyDescent="0.3">
      <c r="B381" s="39" t="s">
        <v>1013</v>
      </c>
      <c r="C381" s="40" t="s">
        <v>440</v>
      </c>
      <c r="D381" s="40" t="s">
        <v>57</v>
      </c>
    </row>
    <row r="382" spans="2:4" x14ac:dyDescent="0.3">
      <c r="B382" s="41" t="s">
        <v>1014</v>
      </c>
      <c r="C382" s="42" t="s">
        <v>441</v>
      </c>
      <c r="D382" s="42" t="s">
        <v>57</v>
      </c>
    </row>
    <row r="383" spans="2:4" x14ac:dyDescent="0.3">
      <c r="B383" s="39" t="s">
        <v>1015</v>
      </c>
      <c r="C383" s="40" t="s">
        <v>442</v>
      </c>
      <c r="D383" s="40" t="s">
        <v>57</v>
      </c>
    </row>
    <row r="384" spans="2:4" x14ac:dyDescent="0.3">
      <c r="B384" s="41" t="s">
        <v>1016</v>
      </c>
      <c r="C384" s="42" t="s">
        <v>443</v>
      </c>
      <c r="D384" s="42" t="s">
        <v>57</v>
      </c>
    </row>
    <row r="385" spans="2:4" x14ac:dyDescent="0.3">
      <c r="B385" s="39" t="s">
        <v>1017</v>
      </c>
      <c r="C385" s="40" t="s">
        <v>444</v>
      </c>
      <c r="D385" s="40" t="s">
        <v>57</v>
      </c>
    </row>
    <row r="386" spans="2:4" x14ac:dyDescent="0.3">
      <c r="B386" s="41" t="s">
        <v>1348</v>
      </c>
      <c r="C386" s="42" t="s">
        <v>445</v>
      </c>
      <c r="D386" s="42" t="s">
        <v>57</v>
      </c>
    </row>
    <row r="387" spans="2:4" x14ac:dyDescent="0.3">
      <c r="B387" s="39" t="s">
        <v>1349</v>
      </c>
      <c r="C387" s="40" t="s">
        <v>446</v>
      </c>
      <c r="D387" s="40" t="s">
        <v>57</v>
      </c>
    </row>
    <row r="388" spans="2:4" x14ac:dyDescent="0.3">
      <c r="B388" s="41" t="s">
        <v>1350</v>
      </c>
      <c r="C388" s="42" t="s">
        <v>447</v>
      </c>
      <c r="D388" s="42" t="s">
        <v>57</v>
      </c>
    </row>
    <row r="389" spans="2:4" x14ac:dyDescent="0.3">
      <c r="B389" s="39" t="s">
        <v>1351</v>
      </c>
      <c r="C389" s="40" t="s">
        <v>446</v>
      </c>
      <c r="D389" s="40" t="s">
        <v>57</v>
      </c>
    </row>
    <row r="390" spans="2:4" x14ac:dyDescent="0.3">
      <c r="B390" s="41" t="s">
        <v>1352</v>
      </c>
      <c r="C390" s="42" t="s">
        <v>448</v>
      </c>
      <c r="D390" s="42" t="s">
        <v>57</v>
      </c>
    </row>
    <row r="391" spans="2:4" x14ac:dyDescent="0.3">
      <c r="B391" s="39" t="s">
        <v>1353</v>
      </c>
      <c r="C391" s="40" t="s">
        <v>63</v>
      </c>
      <c r="D391" s="40" t="s">
        <v>57</v>
      </c>
    </row>
    <row r="392" spans="2:4" x14ac:dyDescent="0.3">
      <c r="B392" s="41" t="s">
        <v>1354</v>
      </c>
      <c r="C392" s="42" t="s">
        <v>449</v>
      </c>
      <c r="D392" s="42" t="s">
        <v>57</v>
      </c>
    </row>
    <row r="393" spans="2:4" x14ac:dyDescent="0.3">
      <c r="B393" s="39" t="s">
        <v>1355</v>
      </c>
      <c r="C393" s="40" t="s">
        <v>450</v>
      </c>
      <c r="D393" s="40" t="s">
        <v>57</v>
      </c>
    </row>
    <row r="394" spans="2:4" x14ac:dyDescent="0.3">
      <c r="B394" s="41" t="s">
        <v>1356</v>
      </c>
      <c r="C394" s="42"/>
      <c r="D394" s="42" t="s">
        <v>57</v>
      </c>
    </row>
    <row r="395" spans="2:4" x14ac:dyDescent="0.3">
      <c r="B395" s="39" t="s">
        <v>1357</v>
      </c>
      <c r="C395" s="40"/>
      <c r="D395" s="40" t="s">
        <v>57</v>
      </c>
    </row>
    <row r="396" spans="2:4" x14ac:dyDescent="0.3">
      <c r="B396" s="41" t="s">
        <v>703</v>
      </c>
      <c r="C396" s="42" t="s">
        <v>451</v>
      </c>
      <c r="D396" s="42" t="s">
        <v>452</v>
      </c>
    </row>
    <row r="397" spans="2:4" x14ac:dyDescent="0.3">
      <c r="B397" s="39" t="s">
        <v>704</v>
      </c>
      <c r="C397" s="40" t="s">
        <v>453</v>
      </c>
      <c r="D397" s="40" t="s">
        <v>452</v>
      </c>
    </row>
    <row r="398" spans="2:4" x14ac:dyDescent="0.3">
      <c r="B398" s="41" t="s">
        <v>705</v>
      </c>
      <c r="C398" s="42" t="s">
        <v>454</v>
      </c>
      <c r="D398" s="42" t="s">
        <v>452</v>
      </c>
    </row>
    <row r="399" spans="2:4" x14ac:dyDescent="0.3">
      <c r="B399" s="39" t="s">
        <v>1042</v>
      </c>
      <c r="C399" s="40" t="s">
        <v>455</v>
      </c>
      <c r="D399" s="40" t="s">
        <v>452</v>
      </c>
    </row>
    <row r="400" spans="2:4" x14ac:dyDescent="0.3">
      <c r="B400" s="41" t="s">
        <v>1043</v>
      </c>
      <c r="C400" s="42" t="s">
        <v>456</v>
      </c>
      <c r="D400" s="42" t="s">
        <v>452</v>
      </c>
    </row>
    <row r="401" spans="2:4" x14ac:dyDescent="0.3">
      <c r="B401" s="39" t="s">
        <v>1044</v>
      </c>
      <c r="C401" s="40" t="s">
        <v>457</v>
      </c>
      <c r="D401" s="40" t="s">
        <v>452</v>
      </c>
    </row>
    <row r="402" spans="2:4" x14ac:dyDescent="0.3">
      <c r="B402" s="41" t="s">
        <v>1045</v>
      </c>
      <c r="C402" s="42" t="s">
        <v>458</v>
      </c>
      <c r="D402" s="42" t="s">
        <v>452</v>
      </c>
    </row>
    <row r="403" spans="2:4" x14ac:dyDescent="0.3">
      <c r="B403" s="39" t="s">
        <v>1046</v>
      </c>
      <c r="C403" s="40" t="s">
        <v>459</v>
      </c>
      <c r="D403" s="40" t="s">
        <v>452</v>
      </c>
    </row>
    <row r="404" spans="2:4" x14ac:dyDescent="0.3">
      <c r="B404" s="41" t="s">
        <v>1047</v>
      </c>
      <c r="C404" s="42" t="s">
        <v>460</v>
      </c>
      <c r="D404" s="42" t="s">
        <v>452</v>
      </c>
    </row>
    <row r="405" spans="2:4" x14ac:dyDescent="0.3">
      <c r="B405" s="39" t="s">
        <v>1048</v>
      </c>
      <c r="C405" s="40" t="s">
        <v>461</v>
      </c>
      <c r="D405" s="40" t="s">
        <v>452</v>
      </c>
    </row>
    <row r="406" spans="2:4" x14ac:dyDescent="0.3">
      <c r="B406" s="41" t="s">
        <v>1049</v>
      </c>
      <c r="C406" s="42" t="s">
        <v>462</v>
      </c>
      <c r="D406" s="42" t="s">
        <v>452</v>
      </c>
    </row>
    <row r="407" spans="2:4" x14ac:dyDescent="0.3">
      <c r="B407" s="39" t="s">
        <v>1050</v>
      </c>
      <c r="C407" s="40" t="s">
        <v>463</v>
      </c>
      <c r="D407" s="40" t="s">
        <v>452</v>
      </c>
    </row>
    <row r="408" spans="2:4" x14ac:dyDescent="0.3">
      <c r="B408" s="41" t="s">
        <v>1051</v>
      </c>
      <c r="C408" s="42" t="s">
        <v>464</v>
      </c>
      <c r="D408" s="42" t="s">
        <v>452</v>
      </c>
    </row>
    <row r="409" spans="2:4" x14ac:dyDescent="0.3">
      <c r="B409" s="39" t="s">
        <v>1052</v>
      </c>
      <c r="C409" s="40" t="s">
        <v>465</v>
      </c>
      <c r="D409" s="40" t="s">
        <v>452</v>
      </c>
    </row>
    <row r="410" spans="2:4" x14ac:dyDescent="0.3">
      <c r="B410" s="41" t="s">
        <v>1053</v>
      </c>
      <c r="C410" s="42" t="s">
        <v>466</v>
      </c>
      <c r="D410" s="42" t="s">
        <v>452</v>
      </c>
    </row>
    <row r="411" spans="2:4" x14ac:dyDescent="0.3">
      <c r="B411" s="39" t="s">
        <v>1054</v>
      </c>
      <c r="C411" s="40" t="s">
        <v>467</v>
      </c>
      <c r="D411" s="40" t="s">
        <v>452</v>
      </c>
    </row>
    <row r="412" spans="2:4" x14ac:dyDescent="0.3">
      <c r="B412" s="41" t="s">
        <v>1055</v>
      </c>
      <c r="C412" s="42" t="s">
        <v>468</v>
      </c>
      <c r="D412" s="42" t="s">
        <v>452</v>
      </c>
    </row>
    <row r="413" spans="2:4" x14ac:dyDescent="0.3">
      <c r="B413" s="39" t="s">
        <v>1056</v>
      </c>
      <c r="C413" s="40" t="s">
        <v>469</v>
      </c>
      <c r="D413" s="40" t="s">
        <v>452</v>
      </c>
    </row>
    <row r="414" spans="2:4" x14ac:dyDescent="0.3">
      <c r="B414" s="41" t="s">
        <v>1057</v>
      </c>
      <c r="C414" s="42" t="s">
        <v>470</v>
      </c>
      <c r="D414" s="42" t="s">
        <v>452</v>
      </c>
    </row>
    <row r="415" spans="2:4" x14ac:dyDescent="0.3">
      <c r="B415" s="39" t="s">
        <v>1058</v>
      </c>
      <c r="C415" s="40" t="s">
        <v>471</v>
      </c>
      <c r="D415" s="40" t="s">
        <v>452</v>
      </c>
    </row>
    <row r="416" spans="2:4" x14ac:dyDescent="0.3">
      <c r="B416" s="41" t="s">
        <v>1059</v>
      </c>
      <c r="C416" s="42" t="s">
        <v>472</v>
      </c>
      <c r="D416" s="42" t="s">
        <v>452</v>
      </c>
    </row>
    <row r="417" spans="2:4" x14ac:dyDescent="0.3">
      <c r="B417" s="39" t="s">
        <v>1060</v>
      </c>
      <c r="C417" s="40" t="s">
        <v>473</v>
      </c>
      <c r="D417" s="40" t="s">
        <v>452</v>
      </c>
    </row>
    <row r="418" spans="2:4" x14ac:dyDescent="0.3">
      <c r="B418" s="41" t="s">
        <v>1061</v>
      </c>
      <c r="C418" s="42" t="s">
        <v>474</v>
      </c>
      <c r="D418" s="42" t="s">
        <v>452</v>
      </c>
    </row>
    <row r="419" spans="2:4" x14ac:dyDescent="0.3">
      <c r="B419" s="39" t="s">
        <v>1251</v>
      </c>
      <c r="C419" s="40" t="s">
        <v>475</v>
      </c>
      <c r="D419" s="40" t="s">
        <v>476</v>
      </c>
    </row>
    <row r="420" spans="2:4" x14ac:dyDescent="0.3">
      <c r="B420" s="41" t="s">
        <v>1252</v>
      </c>
      <c r="C420" s="42" t="s">
        <v>477</v>
      </c>
      <c r="D420" s="42" t="s">
        <v>476</v>
      </c>
    </row>
    <row r="421" spans="2:4" x14ac:dyDescent="0.3">
      <c r="B421" s="39" t="s">
        <v>1253</v>
      </c>
      <c r="C421" s="40" t="s">
        <v>478</v>
      </c>
      <c r="D421" s="40" t="s">
        <v>476</v>
      </c>
    </row>
    <row r="422" spans="2:4" x14ac:dyDescent="0.3">
      <c r="B422" s="41" t="s">
        <v>1254</v>
      </c>
      <c r="C422" s="42" t="s">
        <v>479</v>
      </c>
      <c r="D422" s="42" t="s">
        <v>476</v>
      </c>
    </row>
    <row r="423" spans="2:4" x14ac:dyDescent="0.3">
      <c r="B423" s="39" t="s">
        <v>1255</v>
      </c>
      <c r="C423" s="40" t="s">
        <v>480</v>
      </c>
      <c r="D423" s="40" t="s">
        <v>476</v>
      </c>
    </row>
    <row r="424" spans="2:4" x14ac:dyDescent="0.3">
      <c r="B424" s="41" t="s">
        <v>1256</v>
      </c>
      <c r="C424" s="42" t="s">
        <v>481</v>
      </c>
      <c r="D424" s="42" t="s">
        <v>476</v>
      </c>
    </row>
    <row r="425" spans="2:4" x14ac:dyDescent="0.3">
      <c r="B425" s="39" t="s">
        <v>1257</v>
      </c>
      <c r="C425" s="40" t="s">
        <v>482</v>
      </c>
      <c r="D425" s="40" t="s">
        <v>476</v>
      </c>
    </row>
    <row r="426" spans="2:4" x14ac:dyDescent="0.3">
      <c r="B426" s="41" t="s">
        <v>1258</v>
      </c>
      <c r="C426" s="42" t="s">
        <v>483</v>
      </c>
      <c r="D426" s="42" t="s">
        <v>476</v>
      </c>
    </row>
    <row r="427" spans="2:4" x14ac:dyDescent="0.3">
      <c r="B427" s="39" t="s">
        <v>1259</v>
      </c>
      <c r="C427" s="40" t="s">
        <v>484</v>
      </c>
      <c r="D427" s="40" t="s">
        <v>476</v>
      </c>
    </row>
    <row r="428" spans="2:4" x14ac:dyDescent="0.3">
      <c r="B428" s="41" t="s">
        <v>1260</v>
      </c>
      <c r="C428" s="42" t="s">
        <v>485</v>
      </c>
      <c r="D428" s="42" t="s">
        <v>476</v>
      </c>
    </row>
    <row r="429" spans="2:4" x14ac:dyDescent="0.3">
      <c r="B429" s="39" t="s">
        <v>1261</v>
      </c>
      <c r="C429" s="40" t="s">
        <v>486</v>
      </c>
      <c r="D429" s="40" t="s">
        <v>476</v>
      </c>
    </row>
    <row r="430" spans="2:4" x14ac:dyDescent="0.3">
      <c r="B430" s="41" t="s">
        <v>1262</v>
      </c>
      <c r="C430" s="42" t="s">
        <v>487</v>
      </c>
      <c r="D430" s="42" t="s">
        <v>476</v>
      </c>
    </row>
    <row r="431" spans="2:4" x14ac:dyDescent="0.3">
      <c r="B431" s="39" t="s">
        <v>1263</v>
      </c>
      <c r="C431" s="40" t="s">
        <v>488</v>
      </c>
      <c r="D431" s="40" t="s">
        <v>476</v>
      </c>
    </row>
    <row r="432" spans="2:4" x14ac:dyDescent="0.3">
      <c r="B432" s="41" t="s">
        <v>1264</v>
      </c>
      <c r="C432" s="42" t="s">
        <v>489</v>
      </c>
      <c r="D432" s="42" t="s">
        <v>476</v>
      </c>
    </row>
    <row r="433" spans="2:4" x14ac:dyDescent="0.3">
      <c r="B433" s="39" t="s">
        <v>1265</v>
      </c>
      <c r="C433" s="40" t="s">
        <v>490</v>
      </c>
      <c r="D433" s="40" t="s">
        <v>476</v>
      </c>
    </row>
    <row r="434" spans="2:4" x14ac:dyDescent="0.3">
      <c r="B434" s="41" t="s">
        <v>1266</v>
      </c>
      <c r="C434" s="42"/>
      <c r="D434" s="42" t="s">
        <v>476</v>
      </c>
    </row>
    <row r="435" spans="2:4" x14ac:dyDescent="0.3">
      <c r="B435" s="39" t="s">
        <v>1267</v>
      </c>
      <c r="C435" s="40"/>
      <c r="D435" s="40" t="s">
        <v>476</v>
      </c>
    </row>
    <row r="436" spans="2:4" x14ac:dyDescent="0.3">
      <c r="B436" s="41" t="s">
        <v>1268</v>
      </c>
      <c r="C436" s="42"/>
      <c r="D436" s="42" t="s">
        <v>476</v>
      </c>
    </row>
    <row r="437" spans="2:4" x14ac:dyDescent="0.3">
      <c r="B437" s="39" t="s">
        <v>1269</v>
      </c>
      <c r="C437" s="40"/>
      <c r="D437" s="40" t="s">
        <v>476</v>
      </c>
    </row>
    <row r="438" spans="2:4" x14ac:dyDescent="0.3">
      <c r="B438" s="41" t="s">
        <v>935</v>
      </c>
      <c r="C438" s="42" t="s">
        <v>491</v>
      </c>
      <c r="D438" s="42" t="s">
        <v>492</v>
      </c>
    </row>
    <row r="439" spans="2:4" x14ac:dyDescent="0.3">
      <c r="B439" s="39" t="s">
        <v>936</v>
      </c>
      <c r="C439" s="40" t="s">
        <v>493</v>
      </c>
      <c r="D439" s="40" t="s">
        <v>492</v>
      </c>
    </row>
    <row r="440" spans="2:4" x14ac:dyDescent="0.3">
      <c r="B440" s="41" t="s">
        <v>937</v>
      </c>
      <c r="C440" s="42" t="s">
        <v>494</v>
      </c>
      <c r="D440" s="42" t="s">
        <v>492</v>
      </c>
    </row>
    <row r="441" spans="2:4" x14ac:dyDescent="0.3">
      <c r="B441" s="39" t="s">
        <v>938</v>
      </c>
      <c r="C441" s="40" t="s">
        <v>495</v>
      </c>
      <c r="D441" s="40" t="s">
        <v>492</v>
      </c>
    </row>
    <row r="442" spans="2:4" x14ac:dyDescent="0.3">
      <c r="B442" s="41" t="s">
        <v>939</v>
      </c>
      <c r="C442" s="42" t="s">
        <v>496</v>
      </c>
      <c r="D442" s="42" t="s">
        <v>492</v>
      </c>
    </row>
    <row r="443" spans="2:4" x14ac:dyDescent="0.3">
      <c r="B443" s="39" t="s">
        <v>940</v>
      </c>
      <c r="C443" s="40" t="s">
        <v>497</v>
      </c>
      <c r="D443" s="40" t="s">
        <v>492</v>
      </c>
    </row>
    <row r="444" spans="2:4" x14ac:dyDescent="0.3">
      <c r="B444" s="41" t="s">
        <v>941</v>
      </c>
      <c r="C444" s="42" t="s">
        <v>498</v>
      </c>
      <c r="D444" s="42" t="s">
        <v>492</v>
      </c>
    </row>
    <row r="445" spans="2:4" x14ac:dyDescent="0.3">
      <c r="B445" s="39" t="s">
        <v>942</v>
      </c>
      <c r="C445" s="40" t="s">
        <v>499</v>
      </c>
      <c r="D445" s="40" t="s">
        <v>492</v>
      </c>
    </row>
    <row r="446" spans="2:4" x14ac:dyDescent="0.3">
      <c r="B446" s="41" t="s">
        <v>943</v>
      </c>
      <c r="C446" s="42" t="s">
        <v>500</v>
      </c>
      <c r="D446" s="42" t="s">
        <v>492</v>
      </c>
    </row>
    <row r="447" spans="2:4" x14ac:dyDescent="0.3">
      <c r="B447" s="39" t="s">
        <v>945</v>
      </c>
      <c r="C447" s="40" t="s">
        <v>501</v>
      </c>
      <c r="D447" s="40" t="s">
        <v>492</v>
      </c>
    </row>
    <row r="448" spans="2:4" x14ac:dyDescent="0.3">
      <c r="B448" s="41" t="s">
        <v>944</v>
      </c>
      <c r="C448" s="42" t="s">
        <v>502</v>
      </c>
      <c r="D448" s="42" t="s">
        <v>492</v>
      </c>
    </row>
    <row r="449" spans="2:4" x14ac:dyDescent="0.3">
      <c r="B449" s="39" t="s">
        <v>948</v>
      </c>
      <c r="C449" s="40"/>
      <c r="D449" s="40" t="s">
        <v>492</v>
      </c>
    </row>
    <row r="450" spans="2:4" x14ac:dyDescent="0.3">
      <c r="B450" s="41" t="s">
        <v>946</v>
      </c>
      <c r="C450" s="42"/>
      <c r="D450" s="42" t="s">
        <v>492</v>
      </c>
    </row>
    <row r="451" spans="2:4" x14ac:dyDescent="0.3">
      <c r="B451" s="39" t="s">
        <v>947</v>
      </c>
      <c r="C451" s="40"/>
      <c r="D451" s="40" t="s">
        <v>492</v>
      </c>
    </row>
    <row r="452" spans="2:4" x14ac:dyDescent="0.3">
      <c r="B452" s="41" t="s">
        <v>1279</v>
      </c>
      <c r="C452" s="42" t="s">
        <v>503</v>
      </c>
      <c r="D452" s="42" t="s">
        <v>504</v>
      </c>
    </row>
    <row r="453" spans="2:4" x14ac:dyDescent="0.3">
      <c r="B453" s="39" t="s">
        <v>1280</v>
      </c>
      <c r="C453" s="40" t="s">
        <v>505</v>
      </c>
      <c r="D453" s="40" t="s">
        <v>504</v>
      </c>
    </row>
    <row r="454" spans="2:4" x14ac:dyDescent="0.3">
      <c r="B454" s="41" t="s">
        <v>1282</v>
      </c>
      <c r="C454" s="42" t="s">
        <v>507</v>
      </c>
      <c r="D454" s="42" t="s">
        <v>504</v>
      </c>
    </row>
    <row r="455" spans="2:4" x14ac:dyDescent="0.3">
      <c r="B455" s="39" t="s">
        <v>1283</v>
      </c>
      <c r="C455" s="40" t="s">
        <v>508</v>
      </c>
      <c r="D455" s="40" t="s">
        <v>504</v>
      </c>
    </row>
    <row r="456" spans="2:4" x14ac:dyDescent="0.3">
      <c r="B456" s="41" t="s">
        <v>1284</v>
      </c>
      <c r="C456" s="42" t="s">
        <v>47</v>
      </c>
      <c r="D456" s="42" t="s">
        <v>504</v>
      </c>
    </row>
    <row r="457" spans="2:4" x14ac:dyDescent="0.3">
      <c r="B457" s="39" t="s">
        <v>1285</v>
      </c>
      <c r="C457" s="40" t="s">
        <v>509</v>
      </c>
      <c r="D457" s="40" t="s">
        <v>504</v>
      </c>
    </row>
    <row r="458" spans="2:4" x14ac:dyDescent="0.3">
      <c r="B458" s="41" t="s">
        <v>1286</v>
      </c>
      <c r="C458" s="42" t="s">
        <v>510</v>
      </c>
      <c r="D458" s="42" t="s">
        <v>504</v>
      </c>
    </row>
    <row r="459" spans="2:4" x14ac:dyDescent="0.3">
      <c r="B459" s="39" t="s">
        <v>1287</v>
      </c>
      <c r="C459" s="40" t="s">
        <v>511</v>
      </c>
      <c r="D459" s="40" t="s">
        <v>504</v>
      </c>
    </row>
    <row r="460" spans="2:4" x14ac:dyDescent="0.3">
      <c r="B460" s="41" t="s">
        <v>1288</v>
      </c>
      <c r="C460" s="42" t="s">
        <v>512</v>
      </c>
      <c r="D460" s="42" t="s">
        <v>504</v>
      </c>
    </row>
    <row r="461" spans="2:4" x14ac:dyDescent="0.3">
      <c r="B461" s="39" t="s">
        <v>1289</v>
      </c>
      <c r="C461" s="40"/>
      <c r="D461" s="40" t="s">
        <v>504</v>
      </c>
    </row>
    <row r="462" spans="2:4" x14ac:dyDescent="0.3">
      <c r="B462" s="41" t="s">
        <v>1290</v>
      </c>
      <c r="C462" s="42"/>
      <c r="D462" s="42" t="s">
        <v>504</v>
      </c>
    </row>
    <row r="463" spans="2:4" x14ac:dyDescent="0.3">
      <c r="B463" s="39" t="s">
        <v>1291</v>
      </c>
      <c r="C463" s="40"/>
      <c r="D463" s="40" t="s">
        <v>504</v>
      </c>
    </row>
    <row r="464" spans="2:4" x14ac:dyDescent="0.3">
      <c r="B464" s="41" t="s">
        <v>1292</v>
      </c>
      <c r="C464" s="42"/>
      <c r="D464" s="42" t="s">
        <v>504</v>
      </c>
    </row>
    <row r="465" spans="2:4" x14ac:dyDescent="0.3">
      <c r="B465" s="39" t="s">
        <v>1293</v>
      </c>
      <c r="C465" s="40"/>
      <c r="D465" s="40" t="s">
        <v>504</v>
      </c>
    </row>
    <row r="466" spans="2:4" x14ac:dyDescent="0.3">
      <c r="B466" s="41" t="s">
        <v>1294</v>
      </c>
      <c r="C466" s="42"/>
      <c r="D466" s="42" t="s">
        <v>504</v>
      </c>
    </row>
    <row r="467" spans="2:4" x14ac:dyDescent="0.3">
      <c r="B467" s="39" t="s">
        <v>1295</v>
      </c>
      <c r="C467" s="40"/>
      <c r="D467" s="40" t="s">
        <v>504</v>
      </c>
    </row>
    <row r="468" spans="2:4" x14ac:dyDescent="0.3">
      <c r="B468" s="41" t="s">
        <v>1296</v>
      </c>
      <c r="C468" s="42"/>
      <c r="D468" s="42" t="s">
        <v>504</v>
      </c>
    </row>
    <row r="469" spans="2:4" x14ac:dyDescent="0.3">
      <c r="B469" s="39" t="s">
        <v>1297</v>
      </c>
      <c r="C469" s="40"/>
      <c r="D469" s="40" t="s">
        <v>504</v>
      </c>
    </row>
    <row r="470" spans="2:4" x14ac:dyDescent="0.3">
      <c r="B470" s="41" t="s">
        <v>1298</v>
      </c>
      <c r="C470" s="42"/>
      <c r="D470" s="42" t="s">
        <v>504</v>
      </c>
    </row>
    <row r="471" spans="2:4" x14ac:dyDescent="0.3">
      <c r="B471" s="39" t="s">
        <v>1299</v>
      </c>
      <c r="C471" s="40"/>
      <c r="D471" s="40" t="s">
        <v>504</v>
      </c>
    </row>
    <row r="472" spans="2:4" x14ac:dyDescent="0.3">
      <c r="B472" s="41" t="s">
        <v>1300</v>
      </c>
      <c r="C472" s="42"/>
      <c r="D472" s="42" t="s">
        <v>504</v>
      </c>
    </row>
    <row r="473" spans="2:4" x14ac:dyDescent="0.3">
      <c r="B473" s="39" t="s">
        <v>1301</v>
      </c>
      <c r="C473" s="40"/>
      <c r="D473" s="40" t="s">
        <v>504</v>
      </c>
    </row>
    <row r="474" spans="2:4" x14ac:dyDescent="0.3">
      <c r="B474" s="41" t="s">
        <v>989</v>
      </c>
      <c r="C474" s="42" t="s">
        <v>513</v>
      </c>
      <c r="D474" s="42" t="s">
        <v>44</v>
      </c>
    </row>
    <row r="475" spans="2:4" x14ac:dyDescent="0.3">
      <c r="B475" s="39" t="s">
        <v>990</v>
      </c>
      <c r="C475" s="40" t="s">
        <v>514</v>
      </c>
      <c r="D475" s="40" t="s">
        <v>44</v>
      </c>
    </row>
    <row r="476" spans="2:4" x14ac:dyDescent="0.3">
      <c r="B476" s="41" t="s">
        <v>991</v>
      </c>
      <c r="C476" s="42" t="s">
        <v>515</v>
      </c>
      <c r="D476" s="42" t="s">
        <v>44</v>
      </c>
    </row>
    <row r="477" spans="2:4" x14ac:dyDescent="0.3">
      <c r="B477" s="39" t="s">
        <v>992</v>
      </c>
      <c r="C477" s="40" t="s">
        <v>516</v>
      </c>
      <c r="D477" s="40" t="s">
        <v>44</v>
      </c>
    </row>
    <row r="478" spans="2:4" x14ac:dyDescent="0.3">
      <c r="B478" s="41" t="s">
        <v>993</v>
      </c>
      <c r="C478" s="42"/>
      <c r="D478" s="42" t="s">
        <v>44</v>
      </c>
    </row>
    <row r="479" spans="2:4" x14ac:dyDescent="0.3">
      <c r="B479" s="39" t="s">
        <v>994</v>
      </c>
      <c r="C479" s="40"/>
      <c r="D479" s="40" t="s">
        <v>44</v>
      </c>
    </row>
    <row r="480" spans="2:4" x14ac:dyDescent="0.3">
      <c r="B480" s="41" t="s">
        <v>995</v>
      </c>
      <c r="C480" s="42"/>
      <c r="D480" s="42" t="s">
        <v>44</v>
      </c>
    </row>
    <row r="481" spans="2:4" x14ac:dyDescent="0.3">
      <c r="B481" s="39" t="s">
        <v>996</v>
      </c>
      <c r="C481" s="40"/>
      <c r="D481" s="40" t="s">
        <v>44</v>
      </c>
    </row>
    <row r="482" spans="2:4" x14ac:dyDescent="0.3">
      <c r="B482" s="41" t="s">
        <v>997</v>
      </c>
      <c r="C482" s="42"/>
      <c r="D482" s="42" t="s">
        <v>44</v>
      </c>
    </row>
    <row r="483" spans="2:4" x14ac:dyDescent="0.3">
      <c r="B483" s="39" t="s">
        <v>1270</v>
      </c>
      <c r="C483" s="40" t="s">
        <v>517</v>
      </c>
      <c r="D483" s="40" t="s">
        <v>518</v>
      </c>
    </row>
    <row r="484" spans="2:4" x14ac:dyDescent="0.3">
      <c r="B484" s="41" t="s">
        <v>1271</v>
      </c>
      <c r="C484" s="42"/>
      <c r="D484" s="42" t="s">
        <v>518</v>
      </c>
    </row>
    <row r="485" spans="2:4" x14ac:dyDescent="0.3">
      <c r="B485" s="39" t="s">
        <v>1272</v>
      </c>
      <c r="C485" s="40"/>
      <c r="D485" s="40" t="s">
        <v>518</v>
      </c>
    </row>
    <row r="486" spans="2:4" x14ac:dyDescent="0.3">
      <c r="B486" s="41" t="s">
        <v>1273</v>
      </c>
      <c r="C486" s="42"/>
      <c r="D486" s="42" t="s">
        <v>518</v>
      </c>
    </row>
    <row r="487" spans="2:4" x14ac:dyDescent="0.3">
      <c r="B487" s="39" t="s">
        <v>1274</v>
      </c>
      <c r="C487" s="40"/>
      <c r="D487" s="40" t="s">
        <v>518</v>
      </c>
    </row>
    <row r="488" spans="2:4" x14ac:dyDescent="0.3">
      <c r="B488" s="41" t="s">
        <v>1275</v>
      </c>
      <c r="C488" s="42"/>
      <c r="D488" s="42" t="s">
        <v>518</v>
      </c>
    </row>
    <row r="489" spans="2:4" x14ac:dyDescent="0.3">
      <c r="B489" s="39" t="s">
        <v>1276</v>
      </c>
      <c r="C489" s="40"/>
      <c r="D489" s="40" t="s">
        <v>518</v>
      </c>
    </row>
    <row r="490" spans="2:4" x14ac:dyDescent="0.3">
      <c r="B490" s="41" t="s">
        <v>1277</v>
      </c>
      <c r="C490" s="42"/>
      <c r="D490" s="42" t="s">
        <v>518</v>
      </c>
    </row>
    <row r="491" spans="2:4" x14ac:dyDescent="0.3">
      <c r="B491" s="39" t="s">
        <v>1278</v>
      </c>
      <c r="C491" s="40"/>
      <c r="D491" s="40" t="s">
        <v>518</v>
      </c>
    </row>
    <row r="492" spans="2:4" x14ac:dyDescent="0.3">
      <c r="B492" s="41" t="s">
        <v>723</v>
      </c>
      <c r="C492" s="42" t="s">
        <v>519</v>
      </c>
      <c r="D492" s="42" t="s">
        <v>520</v>
      </c>
    </row>
    <row r="493" spans="2:4" x14ac:dyDescent="0.3">
      <c r="B493" s="39" t="s">
        <v>1281</v>
      </c>
      <c r="C493" s="40" t="s">
        <v>506</v>
      </c>
      <c r="D493" s="40" t="s">
        <v>504</v>
      </c>
    </row>
    <row r="494" spans="2:4" x14ac:dyDescent="0.3">
      <c r="B494" s="41" t="s">
        <v>724</v>
      </c>
      <c r="C494" s="42" t="s">
        <v>521</v>
      </c>
      <c r="D494" s="42" t="s">
        <v>520</v>
      </c>
    </row>
    <row r="495" spans="2:4" x14ac:dyDescent="0.3">
      <c r="B495" s="39" t="s">
        <v>725</v>
      </c>
      <c r="C495" s="40" t="s">
        <v>522</v>
      </c>
      <c r="D495" s="40" t="s">
        <v>520</v>
      </c>
    </row>
    <row r="496" spans="2:4" x14ac:dyDescent="0.3">
      <c r="B496" s="41" t="s">
        <v>726</v>
      </c>
      <c r="C496" s="42" t="s">
        <v>523</v>
      </c>
      <c r="D496" s="42" t="s">
        <v>520</v>
      </c>
    </row>
    <row r="497" spans="2:4" x14ac:dyDescent="0.3">
      <c r="B497" s="39" t="s">
        <v>727</v>
      </c>
      <c r="C497" s="40" t="s">
        <v>524</v>
      </c>
      <c r="D497" s="40" t="s">
        <v>520</v>
      </c>
    </row>
    <row r="498" spans="2:4" x14ac:dyDescent="0.3">
      <c r="B498" s="41" t="s">
        <v>728</v>
      </c>
      <c r="C498" s="42" t="s">
        <v>525</v>
      </c>
      <c r="D498" s="42" t="s">
        <v>520</v>
      </c>
    </row>
    <row r="499" spans="2:4" x14ac:dyDescent="0.3">
      <c r="B499" s="39" t="s">
        <v>729</v>
      </c>
      <c r="C499" s="40" t="s">
        <v>526</v>
      </c>
      <c r="D499" s="40" t="s">
        <v>520</v>
      </c>
    </row>
    <row r="500" spans="2:4" x14ac:dyDescent="0.3">
      <c r="B500" s="41" t="s">
        <v>730</v>
      </c>
      <c r="C500" s="42" t="s">
        <v>527</v>
      </c>
      <c r="D500" s="42" t="s">
        <v>520</v>
      </c>
    </row>
    <row r="501" spans="2:4" x14ac:dyDescent="0.3">
      <c r="B501" s="39" t="s">
        <v>731</v>
      </c>
      <c r="C501" s="40" t="s">
        <v>528</v>
      </c>
      <c r="D501" s="40" t="s">
        <v>520</v>
      </c>
    </row>
    <row r="502" spans="2:4" x14ac:dyDescent="0.3">
      <c r="B502" s="41" t="s">
        <v>732</v>
      </c>
      <c r="C502" s="42" t="s">
        <v>529</v>
      </c>
      <c r="D502" s="42" t="s">
        <v>520</v>
      </c>
    </row>
    <row r="503" spans="2:4" x14ac:dyDescent="0.3">
      <c r="B503" s="39" t="s">
        <v>733</v>
      </c>
      <c r="C503" s="40" t="s">
        <v>530</v>
      </c>
      <c r="D503" s="40" t="s">
        <v>520</v>
      </c>
    </row>
    <row r="504" spans="2:4" x14ac:dyDescent="0.3">
      <c r="B504" s="41" t="s">
        <v>734</v>
      </c>
      <c r="C504" s="42" t="s">
        <v>531</v>
      </c>
      <c r="D504" s="42" t="s">
        <v>520</v>
      </c>
    </row>
    <row r="505" spans="2:4" x14ac:dyDescent="0.3">
      <c r="B505" s="39" t="s">
        <v>735</v>
      </c>
      <c r="C505" s="40" t="s">
        <v>532</v>
      </c>
      <c r="D505" s="40" t="s">
        <v>520</v>
      </c>
    </row>
    <row r="506" spans="2:4" x14ac:dyDescent="0.3">
      <c r="B506" s="41" t="s">
        <v>736</v>
      </c>
      <c r="C506" s="42" t="s">
        <v>533</v>
      </c>
      <c r="D506" s="42" t="s">
        <v>520</v>
      </c>
    </row>
    <row r="507" spans="2:4" x14ac:dyDescent="0.3">
      <c r="B507" s="39" t="s">
        <v>737</v>
      </c>
      <c r="C507" s="40" t="s">
        <v>534</v>
      </c>
      <c r="D507" s="40" t="s">
        <v>520</v>
      </c>
    </row>
    <row r="508" spans="2:4" x14ac:dyDescent="0.3">
      <c r="B508" s="41" t="s">
        <v>738</v>
      </c>
      <c r="C508" s="42" t="s">
        <v>535</v>
      </c>
      <c r="D508" s="42" t="s">
        <v>520</v>
      </c>
    </row>
    <row r="509" spans="2:4" x14ac:dyDescent="0.3">
      <c r="B509" s="39" t="s">
        <v>739</v>
      </c>
      <c r="C509" s="40" t="s">
        <v>536</v>
      </c>
      <c r="D509" s="40" t="s">
        <v>520</v>
      </c>
    </row>
    <row r="510" spans="2:4" x14ac:dyDescent="0.3">
      <c r="B510" s="41" t="s">
        <v>740</v>
      </c>
      <c r="C510" s="42" t="s">
        <v>537</v>
      </c>
      <c r="D510" s="42" t="s">
        <v>520</v>
      </c>
    </row>
    <row r="511" spans="2:4" x14ac:dyDescent="0.3">
      <c r="B511" s="39" t="s">
        <v>741</v>
      </c>
      <c r="C511" s="40" t="s">
        <v>538</v>
      </c>
      <c r="D511" s="40" t="s">
        <v>520</v>
      </c>
    </row>
    <row r="512" spans="2:4" x14ac:dyDescent="0.3">
      <c r="B512" s="41" t="s">
        <v>742</v>
      </c>
      <c r="C512" s="42" t="s">
        <v>539</v>
      </c>
      <c r="D512" s="42" t="s">
        <v>520</v>
      </c>
    </row>
    <row r="513" spans="2:4" x14ac:dyDescent="0.3">
      <c r="B513" s="39" t="s">
        <v>743</v>
      </c>
      <c r="C513" s="40" t="s">
        <v>540</v>
      </c>
      <c r="D513" s="40" t="s">
        <v>520</v>
      </c>
    </row>
    <row r="514" spans="2:4" x14ac:dyDescent="0.3">
      <c r="B514" s="41" t="s">
        <v>744</v>
      </c>
      <c r="C514" s="42" t="s">
        <v>541</v>
      </c>
      <c r="D514" s="42" t="s">
        <v>520</v>
      </c>
    </row>
    <row r="515" spans="2:4" x14ac:dyDescent="0.3">
      <c r="B515" s="39" t="s">
        <v>745</v>
      </c>
      <c r="C515" s="40" t="s">
        <v>542</v>
      </c>
      <c r="D515" s="40" t="s">
        <v>520</v>
      </c>
    </row>
    <row r="516" spans="2:4" x14ac:dyDescent="0.3">
      <c r="B516" s="41" t="s">
        <v>746</v>
      </c>
      <c r="C516" s="42" t="s">
        <v>543</v>
      </c>
      <c r="D516" s="42" t="s">
        <v>520</v>
      </c>
    </row>
    <row r="517" spans="2:4" x14ac:dyDescent="0.3">
      <c r="B517" s="39" t="s">
        <v>747</v>
      </c>
      <c r="C517" s="40"/>
      <c r="D517" s="40" t="s">
        <v>520</v>
      </c>
    </row>
    <row r="518" spans="2:4" x14ac:dyDescent="0.3">
      <c r="B518" s="41" t="s">
        <v>773</v>
      </c>
      <c r="C518" s="42" t="s">
        <v>544</v>
      </c>
      <c r="D518" s="42" t="s">
        <v>545</v>
      </c>
    </row>
    <row r="519" spans="2:4" x14ac:dyDescent="0.3">
      <c r="B519" s="39" t="s">
        <v>774</v>
      </c>
      <c r="C519" s="40" t="s">
        <v>546</v>
      </c>
      <c r="D519" s="40" t="s">
        <v>545</v>
      </c>
    </row>
    <row r="520" spans="2:4" x14ac:dyDescent="0.3">
      <c r="B520" s="41" t="s">
        <v>775</v>
      </c>
      <c r="C520" s="42" t="s">
        <v>547</v>
      </c>
      <c r="D520" s="42" t="s">
        <v>545</v>
      </c>
    </row>
    <row r="521" spans="2:4" x14ac:dyDescent="0.3">
      <c r="B521" s="39" t="s">
        <v>776</v>
      </c>
      <c r="C521" s="40" t="s">
        <v>548</v>
      </c>
      <c r="D521" s="40" t="s">
        <v>545</v>
      </c>
    </row>
    <row r="522" spans="2:4" x14ac:dyDescent="0.3">
      <c r="B522" s="41" t="s">
        <v>777</v>
      </c>
      <c r="C522" s="42" t="s">
        <v>549</v>
      </c>
      <c r="D522" s="42" t="s">
        <v>545</v>
      </c>
    </row>
    <row r="523" spans="2:4" x14ac:dyDescent="0.3">
      <c r="B523" s="39" t="s">
        <v>778</v>
      </c>
      <c r="C523" s="40" t="s">
        <v>550</v>
      </c>
      <c r="D523" s="40" t="s">
        <v>545</v>
      </c>
    </row>
    <row r="524" spans="2:4" x14ac:dyDescent="0.3">
      <c r="B524" s="41" t="s">
        <v>779</v>
      </c>
      <c r="C524" s="42" t="s">
        <v>551</v>
      </c>
      <c r="D524" s="42" t="s">
        <v>545</v>
      </c>
    </row>
    <row r="525" spans="2:4" x14ac:dyDescent="0.3">
      <c r="B525" s="39" t="s">
        <v>780</v>
      </c>
      <c r="C525" s="40" t="s">
        <v>552</v>
      </c>
      <c r="D525" s="40" t="s">
        <v>545</v>
      </c>
    </row>
    <row r="526" spans="2:4" x14ac:dyDescent="0.3">
      <c r="B526" s="41" t="s">
        <v>781</v>
      </c>
      <c r="C526" s="42" t="s">
        <v>553</v>
      </c>
      <c r="D526" s="42" t="s">
        <v>545</v>
      </c>
    </row>
    <row r="527" spans="2:4" x14ac:dyDescent="0.3">
      <c r="B527" s="39" t="s">
        <v>782</v>
      </c>
      <c r="C527" s="40" t="s">
        <v>554</v>
      </c>
      <c r="D527" s="40" t="s">
        <v>545</v>
      </c>
    </row>
    <row r="528" spans="2:4" x14ac:dyDescent="0.3">
      <c r="B528" s="41" t="s">
        <v>784</v>
      </c>
      <c r="C528" s="42" t="s">
        <v>555</v>
      </c>
      <c r="D528" s="42" t="s">
        <v>545</v>
      </c>
    </row>
    <row r="529" spans="2:4" x14ac:dyDescent="0.3">
      <c r="B529" s="39" t="s">
        <v>783</v>
      </c>
      <c r="C529" s="40" t="s">
        <v>556</v>
      </c>
      <c r="D529" s="40" t="s">
        <v>545</v>
      </c>
    </row>
    <row r="530" spans="2:4" x14ac:dyDescent="0.3">
      <c r="B530" s="41" t="s">
        <v>1302</v>
      </c>
      <c r="C530" s="42" t="s">
        <v>557</v>
      </c>
      <c r="D530" s="42" t="s">
        <v>558</v>
      </c>
    </row>
    <row r="531" spans="2:4" x14ac:dyDescent="0.3">
      <c r="B531" s="39" t="s">
        <v>1303</v>
      </c>
      <c r="C531" s="40" t="s">
        <v>559</v>
      </c>
      <c r="D531" s="40" t="s">
        <v>558</v>
      </c>
    </row>
    <row r="532" spans="2:4" x14ac:dyDescent="0.3">
      <c r="B532" s="41" t="s">
        <v>1304</v>
      </c>
      <c r="C532" s="42" t="s">
        <v>560</v>
      </c>
      <c r="D532" s="42" t="s">
        <v>558</v>
      </c>
    </row>
    <row r="533" spans="2:4" x14ac:dyDescent="0.3">
      <c r="B533" s="39" t="s">
        <v>1305</v>
      </c>
      <c r="C533" s="40" t="s">
        <v>561</v>
      </c>
      <c r="D533" s="40" t="s">
        <v>558</v>
      </c>
    </row>
    <row r="534" spans="2:4" x14ac:dyDescent="0.3">
      <c r="B534" s="41" t="s">
        <v>1306</v>
      </c>
      <c r="C534" s="42" t="s">
        <v>562</v>
      </c>
      <c r="D534" s="42" t="s">
        <v>558</v>
      </c>
    </row>
    <row r="535" spans="2:4" x14ac:dyDescent="0.3">
      <c r="B535" s="39" t="s">
        <v>1307</v>
      </c>
      <c r="C535" s="40" t="s">
        <v>563</v>
      </c>
      <c r="D535" s="40" t="s">
        <v>558</v>
      </c>
    </row>
    <row r="536" spans="2:4" x14ac:dyDescent="0.3">
      <c r="B536" s="41" t="s">
        <v>1308</v>
      </c>
      <c r="C536" s="42" t="s">
        <v>564</v>
      </c>
      <c r="D536" s="42" t="s">
        <v>558</v>
      </c>
    </row>
    <row r="537" spans="2:4" x14ac:dyDescent="0.3">
      <c r="B537" s="39" t="s">
        <v>1309</v>
      </c>
      <c r="C537" s="40" t="s">
        <v>565</v>
      </c>
      <c r="D537" s="40" t="s">
        <v>558</v>
      </c>
    </row>
    <row r="538" spans="2:4" x14ac:dyDescent="0.3">
      <c r="B538" s="41" t="s">
        <v>1310</v>
      </c>
      <c r="C538" s="42" t="s">
        <v>566</v>
      </c>
      <c r="D538" s="42" t="s">
        <v>558</v>
      </c>
    </row>
    <row r="539" spans="2:4" x14ac:dyDescent="0.3">
      <c r="B539" s="39" t="s">
        <v>1311</v>
      </c>
      <c r="C539" s="40" t="s">
        <v>567</v>
      </c>
      <c r="D539" s="40" t="s">
        <v>558</v>
      </c>
    </row>
    <row r="540" spans="2:4" x14ac:dyDescent="0.3">
      <c r="B540" s="41" t="s">
        <v>1312</v>
      </c>
      <c r="C540" s="42" t="s">
        <v>568</v>
      </c>
      <c r="D540" s="42" t="s">
        <v>558</v>
      </c>
    </row>
    <row r="541" spans="2:4" x14ac:dyDescent="0.3">
      <c r="B541" s="39" t="s">
        <v>1313</v>
      </c>
      <c r="C541" s="40" t="s">
        <v>569</v>
      </c>
      <c r="D541" s="40" t="s">
        <v>558</v>
      </c>
    </row>
    <row r="542" spans="2:4" x14ac:dyDescent="0.3">
      <c r="B542" s="41" t="s">
        <v>1314</v>
      </c>
      <c r="C542" s="42" t="s">
        <v>570</v>
      </c>
      <c r="D542" s="42" t="s">
        <v>558</v>
      </c>
    </row>
    <row r="543" spans="2:4" x14ac:dyDescent="0.3">
      <c r="B543" s="39" t="s">
        <v>1315</v>
      </c>
      <c r="C543" s="40" t="s">
        <v>571</v>
      </c>
      <c r="D543" s="40" t="s">
        <v>558</v>
      </c>
    </row>
    <row r="544" spans="2:4" x14ac:dyDescent="0.3">
      <c r="B544" s="41" t="s">
        <v>1316</v>
      </c>
      <c r="C544" s="42" t="s">
        <v>572</v>
      </c>
      <c r="D544" s="42" t="s">
        <v>558</v>
      </c>
    </row>
    <row r="545" spans="2:4" x14ac:dyDescent="0.3">
      <c r="B545" s="39" t="s">
        <v>1317</v>
      </c>
      <c r="C545" s="40" t="s">
        <v>573</v>
      </c>
      <c r="D545" s="40" t="s">
        <v>558</v>
      </c>
    </row>
    <row r="546" spans="2:4" x14ac:dyDescent="0.3">
      <c r="B546" s="41" t="s">
        <v>1318</v>
      </c>
      <c r="C546" s="42" t="s">
        <v>574</v>
      </c>
      <c r="D546" s="42" t="s">
        <v>558</v>
      </c>
    </row>
    <row r="547" spans="2:4" x14ac:dyDescent="0.3">
      <c r="B547" s="39" t="s">
        <v>1319</v>
      </c>
      <c r="C547" s="40" t="s">
        <v>575</v>
      </c>
      <c r="D547" s="40" t="s">
        <v>558</v>
      </c>
    </row>
    <row r="548" spans="2:4" x14ac:dyDescent="0.3">
      <c r="B548" s="41" t="s">
        <v>1320</v>
      </c>
      <c r="C548" s="42" t="s">
        <v>576</v>
      </c>
      <c r="D548" s="42" t="s">
        <v>558</v>
      </c>
    </row>
    <row r="549" spans="2:4" x14ac:dyDescent="0.3">
      <c r="B549" s="39" t="s">
        <v>1321</v>
      </c>
      <c r="C549" s="40" t="s">
        <v>577</v>
      </c>
      <c r="D549" s="40" t="s">
        <v>558</v>
      </c>
    </row>
    <row r="550" spans="2:4" x14ac:dyDescent="0.3">
      <c r="B550" s="41" t="s">
        <v>1322</v>
      </c>
      <c r="C550" s="42" t="s">
        <v>578</v>
      </c>
      <c r="D550" s="42" t="s">
        <v>558</v>
      </c>
    </row>
    <row r="551" spans="2:4" x14ac:dyDescent="0.3">
      <c r="B551" s="39" t="s">
        <v>1323</v>
      </c>
      <c r="C551" s="40" t="s">
        <v>579</v>
      </c>
      <c r="D551" s="40" t="s">
        <v>558</v>
      </c>
    </row>
    <row r="552" spans="2:4" x14ac:dyDescent="0.3">
      <c r="B552" s="41" t="s">
        <v>1324</v>
      </c>
      <c r="C552" s="42" t="s">
        <v>580</v>
      </c>
      <c r="D552" s="42" t="s">
        <v>558</v>
      </c>
    </row>
    <row r="553" spans="2:4" x14ac:dyDescent="0.3">
      <c r="B553" s="39" t="s">
        <v>1325</v>
      </c>
      <c r="C553" s="40" t="s">
        <v>580</v>
      </c>
      <c r="D553" s="40" t="s">
        <v>558</v>
      </c>
    </row>
    <row r="554" spans="2:4" x14ac:dyDescent="0.3">
      <c r="B554" s="41" t="s">
        <v>1326</v>
      </c>
      <c r="C554" s="42" t="s">
        <v>581</v>
      </c>
      <c r="D554" s="42" t="s">
        <v>558</v>
      </c>
    </row>
    <row r="555" spans="2:4" x14ac:dyDescent="0.3">
      <c r="B555" s="39" t="s">
        <v>1327</v>
      </c>
      <c r="C555" s="40" t="s">
        <v>582</v>
      </c>
      <c r="D555" s="40" t="s">
        <v>558</v>
      </c>
    </row>
    <row r="556" spans="2:4" x14ac:dyDescent="0.3">
      <c r="B556" s="41" t="s">
        <v>1328</v>
      </c>
      <c r="C556" s="42" t="s">
        <v>583</v>
      </c>
      <c r="D556" s="42" t="s">
        <v>558</v>
      </c>
    </row>
    <row r="557" spans="2:4" x14ac:dyDescent="0.3">
      <c r="B557" s="39" t="s">
        <v>1329</v>
      </c>
      <c r="C557" s="40" t="s">
        <v>584</v>
      </c>
      <c r="D557" s="40" t="s">
        <v>558</v>
      </c>
    </row>
    <row r="558" spans="2:4" x14ac:dyDescent="0.3">
      <c r="B558" s="41" t="s">
        <v>1330</v>
      </c>
      <c r="C558" s="42"/>
      <c r="D558" s="42" t="s">
        <v>558</v>
      </c>
    </row>
    <row r="559" spans="2:4" x14ac:dyDescent="0.3">
      <c r="B559" s="39" t="s">
        <v>1331</v>
      </c>
      <c r="C559" s="40"/>
      <c r="D559" s="40" t="s">
        <v>558</v>
      </c>
    </row>
    <row r="560" spans="2:4" x14ac:dyDescent="0.3">
      <c r="B560" s="41" t="s">
        <v>1332</v>
      </c>
      <c r="C560" s="42"/>
      <c r="D560" s="42" t="s">
        <v>558</v>
      </c>
    </row>
    <row r="561" spans="2:4" x14ac:dyDescent="0.3">
      <c r="B561" s="39" t="s">
        <v>1062</v>
      </c>
      <c r="C561" s="40" t="s">
        <v>585</v>
      </c>
      <c r="D561" s="40" t="s">
        <v>586</v>
      </c>
    </row>
    <row r="562" spans="2:4" x14ac:dyDescent="0.3">
      <c r="B562" s="41" t="s">
        <v>1063</v>
      </c>
      <c r="C562" s="42" t="s">
        <v>587</v>
      </c>
      <c r="D562" s="42" t="s">
        <v>586</v>
      </c>
    </row>
    <row r="563" spans="2:4" x14ac:dyDescent="0.3">
      <c r="B563" s="39" t="s">
        <v>1064</v>
      </c>
      <c r="C563" s="40" t="s">
        <v>588</v>
      </c>
      <c r="D563" s="40" t="s">
        <v>586</v>
      </c>
    </row>
    <row r="564" spans="2:4" x14ac:dyDescent="0.3">
      <c r="B564" s="41" t="s">
        <v>1065</v>
      </c>
      <c r="C564" s="42" t="s">
        <v>589</v>
      </c>
      <c r="D564" s="42" t="s">
        <v>586</v>
      </c>
    </row>
    <row r="565" spans="2:4" x14ac:dyDescent="0.3">
      <c r="B565" s="39" t="s">
        <v>1066</v>
      </c>
      <c r="C565" s="40" t="s">
        <v>590</v>
      </c>
      <c r="D565" s="40" t="s">
        <v>586</v>
      </c>
    </row>
    <row r="566" spans="2:4" x14ac:dyDescent="0.3">
      <c r="B566" s="41" t="s">
        <v>1067</v>
      </c>
      <c r="C566" s="42" t="s">
        <v>591</v>
      </c>
      <c r="D566" s="42" t="s">
        <v>586</v>
      </c>
    </row>
    <row r="567" spans="2:4" x14ac:dyDescent="0.3">
      <c r="B567" s="39" t="s">
        <v>1068</v>
      </c>
      <c r="C567" s="40" t="s">
        <v>592</v>
      </c>
      <c r="D567" s="40" t="s">
        <v>586</v>
      </c>
    </row>
    <row r="568" spans="2:4" x14ac:dyDescent="0.3">
      <c r="B568" s="41" t="s">
        <v>1069</v>
      </c>
      <c r="C568" s="42" t="s">
        <v>593</v>
      </c>
      <c r="D568" s="42" t="s">
        <v>586</v>
      </c>
    </row>
    <row r="569" spans="2:4" x14ac:dyDescent="0.3">
      <c r="B569" s="39" t="s">
        <v>1070</v>
      </c>
      <c r="C569" s="40" t="s">
        <v>594</v>
      </c>
      <c r="D569" s="40" t="s">
        <v>586</v>
      </c>
    </row>
    <row r="570" spans="2:4" x14ac:dyDescent="0.3">
      <c r="B570" s="41" t="s">
        <v>1071</v>
      </c>
      <c r="C570" s="42" t="s">
        <v>595</v>
      </c>
      <c r="D570" s="42" t="s">
        <v>586</v>
      </c>
    </row>
    <row r="571" spans="2:4" x14ac:dyDescent="0.3">
      <c r="B571" s="39" t="s">
        <v>1072</v>
      </c>
      <c r="C571" s="40" t="s">
        <v>596</v>
      </c>
      <c r="D571" s="40" t="s">
        <v>586</v>
      </c>
    </row>
    <row r="572" spans="2:4" x14ac:dyDescent="0.3">
      <c r="B572" s="41" t="s">
        <v>1073</v>
      </c>
      <c r="C572" s="42" t="s">
        <v>597</v>
      </c>
      <c r="D572" s="42" t="s">
        <v>586</v>
      </c>
    </row>
    <row r="573" spans="2:4" x14ac:dyDescent="0.3">
      <c r="B573" s="39" t="s">
        <v>1074</v>
      </c>
      <c r="C573" s="40" t="s">
        <v>598</v>
      </c>
      <c r="D573" s="40" t="s">
        <v>586</v>
      </c>
    </row>
    <row r="574" spans="2:4" x14ac:dyDescent="0.3">
      <c r="B574" s="41" t="s">
        <v>1075</v>
      </c>
      <c r="C574" s="42" t="s">
        <v>599</v>
      </c>
      <c r="D574" s="42" t="s">
        <v>586</v>
      </c>
    </row>
    <row r="575" spans="2:4" x14ac:dyDescent="0.3">
      <c r="B575" s="39" t="s">
        <v>1076</v>
      </c>
      <c r="C575" s="40" t="s">
        <v>600</v>
      </c>
      <c r="D575" s="40" t="s">
        <v>586</v>
      </c>
    </row>
    <row r="576" spans="2:4" x14ac:dyDescent="0.3">
      <c r="B576" s="41" t="s">
        <v>1077</v>
      </c>
      <c r="C576" s="42" t="s">
        <v>601</v>
      </c>
      <c r="D576" s="42" t="s">
        <v>586</v>
      </c>
    </row>
    <row r="577" spans="2:4" x14ac:dyDescent="0.3">
      <c r="B577" s="39" t="s">
        <v>1078</v>
      </c>
      <c r="C577" s="40" t="s">
        <v>602</v>
      </c>
      <c r="D577" s="40" t="s">
        <v>586</v>
      </c>
    </row>
    <row r="578" spans="2:4" x14ac:dyDescent="0.3">
      <c r="B578" s="41" t="s">
        <v>1079</v>
      </c>
      <c r="C578" s="42" t="s">
        <v>603</v>
      </c>
      <c r="D578" s="42" t="s">
        <v>586</v>
      </c>
    </row>
    <row r="579" spans="2:4" x14ac:dyDescent="0.3">
      <c r="B579" s="39" t="s">
        <v>1080</v>
      </c>
      <c r="C579" s="40" t="s">
        <v>604</v>
      </c>
      <c r="D579" s="40" t="s">
        <v>586</v>
      </c>
    </row>
    <row r="580" spans="2:4" x14ac:dyDescent="0.3">
      <c r="B580" s="41" t="s">
        <v>1081</v>
      </c>
      <c r="C580" s="42" t="s">
        <v>605</v>
      </c>
      <c r="D580" s="42" t="s">
        <v>586</v>
      </c>
    </row>
    <row r="581" spans="2:4" x14ac:dyDescent="0.3">
      <c r="B581" s="39" t="s">
        <v>1082</v>
      </c>
      <c r="C581" s="40" t="s">
        <v>606</v>
      </c>
      <c r="D581" s="40" t="s">
        <v>586</v>
      </c>
    </row>
    <row r="582" spans="2:4" x14ac:dyDescent="0.3">
      <c r="B582" s="41" t="s">
        <v>1083</v>
      </c>
      <c r="C582" s="42" t="s">
        <v>607</v>
      </c>
      <c r="D582" s="42" t="s">
        <v>586</v>
      </c>
    </row>
    <row r="583" spans="2:4" x14ac:dyDescent="0.3">
      <c r="B583" s="39" t="s">
        <v>1084</v>
      </c>
      <c r="C583" s="40" t="s">
        <v>608</v>
      </c>
      <c r="D583" s="40" t="s">
        <v>586</v>
      </c>
    </row>
    <row r="584" spans="2:4" x14ac:dyDescent="0.3">
      <c r="B584" s="41" t="s">
        <v>1085</v>
      </c>
      <c r="C584" s="42" t="s">
        <v>609</v>
      </c>
      <c r="D584" s="42" t="s">
        <v>586</v>
      </c>
    </row>
    <row r="585" spans="2:4" x14ac:dyDescent="0.3">
      <c r="B585" s="39" t="s">
        <v>1086</v>
      </c>
      <c r="C585" s="40" t="s">
        <v>610</v>
      </c>
      <c r="D585" s="40" t="s">
        <v>586</v>
      </c>
    </row>
    <row r="586" spans="2:4" x14ac:dyDescent="0.3">
      <c r="B586" s="41" t="s">
        <v>1087</v>
      </c>
      <c r="C586" s="42" t="s">
        <v>611</v>
      </c>
      <c r="D586" s="42" t="s">
        <v>586</v>
      </c>
    </row>
    <row r="587" spans="2:4" x14ac:dyDescent="0.3">
      <c r="B587" s="39" t="s">
        <v>1088</v>
      </c>
      <c r="C587" s="40" t="s">
        <v>612</v>
      </c>
      <c r="D587" s="40" t="s">
        <v>586</v>
      </c>
    </row>
    <row r="588" spans="2:4" x14ac:dyDescent="0.3">
      <c r="B588" s="41" t="s">
        <v>1089</v>
      </c>
      <c r="C588" s="42" t="s">
        <v>613</v>
      </c>
      <c r="D588" s="42" t="s">
        <v>586</v>
      </c>
    </row>
    <row r="589" spans="2:4" x14ac:dyDescent="0.3">
      <c r="B589" s="39" t="s">
        <v>1090</v>
      </c>
      <c r="C589" s="40" t="s">
        <v>614</v>
      </c>
      <c r="D589" s="40" t="s">
        <v>586</v>
      </c>
    </row>
    <row r="590" spans="2:4" x14ac:dyDescent="0.3">
      <c r="B590" s="41" t="s">
        <v>1091</v>
      </c>
      <c r="C590" s="42" t="s">
        <v>615</v>
      </c>
      <c r="D590" s="42" t="s">
        <v>586</v>
      </c>
    </row>
    <row r="591" spans="2:4" x14ac:dyDescent="0.3">
      <c r="B591" s="39" t="s">
        <v>1092</v>
      </c>
      <c r="C591" s="40" t="s">
        <v>616</v>
      </c>
      <c r="D591" s="40" t="s">
        <v>586</v>
      </c>
    </row>
    <row r="592" spans="2:4" x14ac:dyDescent="0.3">
      <c r="B592" s="41" t="s">
        <v>1093</v>
      </c>
      <c r="C592" s="42" t="s">
        <v>617</v>
      </c>
      <c r="D592" s="42" t="s">
        <v>586</v>
      </c>
    </row>
    <row r="593" spans="2:4" x14ac:dyDescent="0.3">
      <c r="B593" s="39" t="s">
        <v>1094</v>
      </c>
      <c r="C593" s="40" t="s">
        <v>618</v>
      </c>
      <c r="D593" s="40" t="s">
        <v>586</v>
      </c>
    </row>
    <row r="594" spans="2:4" x14ac:dyDescent="0.3">
      <c r="B594" s="41" t="s">
        <v>1095</v>
      </c>
      <c r="C594" s="42" t="s">
        <v>619</v>
      </c>
      <c r="D594" s="42" t="s">
        <v>586</v>
      </c>
    </row>
    <row r="595" spans="2:4" x14ac:dyDescent="0.3">
      <c r="B595" s="39" t="s">
        <v>1096</v>
      </c>
      <c r="C595" s="40" t="s">
        <v>620</v>
      </c>
      <c r="D595" s="40" t="s">
        <v>586</v>
      </c>
    </row>
    <row r="596" spans="2:4" x14ac:dyDescent="0.3">
      <c r="B596" s="41" t="s">
        <v>1097</v>
      </c>
      <c r="C596" s="42" t="s">
        <v>621</v>
      </c>
      <c r="D596" s="42" t="s">
        <v>586</v>
      </c>
    </row>
    <row r="597" spans="2:4" x14ac:dyDescent="0.3">
      <c r="B597" s="39" t="s">
        <v>1098</v>
      </c>
      <c r="C597" s="40" t="s">
        <v>622</v>
      </c>
      <c r="D597" s="40" t="s">
        <v>586</v>
      </c>
    </row>
    <row r="598" spans="2:4" x14ac:dyDescent="0.3">
      <c r="B598" s="41" t="s">
        <v>1099</v>
      </c>
      <c r="C598" s="42" t="s">
        <v>623</v>
      </c>
      <c r="D598" s="42" t="s">
        <v>586</v>
      </c>
    </row>
    <row r="599" spans="2:4" x14ac:dyDescent="0.3">
      <c r="B599" s="39" t="s">
        <v>1100</v>
      </c>
      <c r="C599" s="40" t="s">
        <v>624</v>
      </c>
      <c r="D599" s="40" t="s">
        <v>586</v>
      </c>
    </row>
    <row r="600" spans="2:4" x14ac:dyDescent="0.3">
      <c r="B600" s="41" t="s">
        <v>1101</v>
      </c>
      <c r="C600" s="42" t="s">
        <v>625</v>
      </c>
      <c r="D600" s="42" t="s">
        <v>586</v>
      </c>
    </row>
    <row r="601" spans="2:4" x14ac:dyDescent="0.3">
      <c r="B601" s="39" t="s">
        <v>1102</v>
      </c>
      <c r="C601" s="40" t="s">
        <v>626</v>
      </c>
      <c r="D601" s="40" t="s">
        <v>586</v>
      </c>
    </row>
    <row r="602" spans="2:4" x14ac:dyDescent="0.3">
      <c r="B602" s="41" t="s">
        <v>1103</v>
      </c>
      <c r="C602" s="42" t="s">
        <v>627</v>
      </c>
      <c r="D602" s="42" t="s">
        <v>586</v>
      </c>
    </row>
    <row r="603" spans="2:4" x14ac:dyDescent="0.3">
      <c r="B603" s="39" t="s">
        <v>1104</v>
      </c>
      <c r="C603" s="40" t="s">
        <v>628</v>
      </c>
      <c r="D603" s="40" t="s">
        <v>586</v>
      </c>
    </row>
    <row r="604" spans="2:4" x14ac:dyDescent="0.3">
      <c r="B604" s="41" t="s">
        <v>1105</v>
      </c>
      <c r="C604" s="42" t="s">
        <v>629</v>
      </c>
      <c r="D604" s="42" t="s">
        <v>586</v>
      </c>
    </row>
    <row r="605" spans="2:4" x14ac:dyDescent="0.3">
      <c r="B605" s="39" t="s">
        <v>1106</v>
      </c>
      <c r="C605" s="40" t="s">
        <v>630</v>
      </c>
      <c r="D605" s="40" t="s">
        <v>586</v>
      </c>
    </row>
    <row r="606" spans="2:4" x14ac:dyDescent="0.3">
      <c r="B606" s="41" t="s">
        <v>1107</v>
      </c>
      <c r="C606" s="42" t="s">
        <v>631</v>
      </c>
      <c r="D606" s="42" t="s">
        <v>586</v>
      </c>
    </row>
    <row r="607" spans="2:4" x14ac:dyDescent="0.3">
      <c r="B607" s="39" t="s">
        <v>1108</v>
      </c>
      <c r="C607" s="40" t="s">
        <v>632</v>
      </c>
      <c r="D607" s="40" t="s">
        <v>586</v>
      </c>
    </row>
    <row r="608" spans="2:4" x14ac:dyDescent="0.3">
      <c r="B608" s="41" t="s">
        <v>1109</v>
      </c>
      <c r="C608" s="42" t="s">
        <v>633</v>
      </c>
      <c r="D608" s="42" t="s">
        <v>586</v>
      </c>
    </row>
    <row r="609" spans="2:4" x14ac:dyDescent="0.3">
      <c r="B609" s="39" t="s">
        <v>1110</v>
      </c>
      <c r="C609" s="40" t="s">
        <v>634</v>
      </c>
      <c r="D609" s="40" t="s">
        <v>586</v>
      </c>
    </row>
    <row r="610" spans="2:4" x14ac:dyDescent="0.3">
      <c r="B610" s="41" t="s">
        <v>1111</v>
      </c>
      <c r="C610" s="42" t="s">
        <v>635</v>
      </c>
      <c r="D610" s="42" t="s">
        <v>586</v>
      </c>
    </row>
    <row r="611" spans="2:4" x14ac:dyDescent="0.3">
      <c r="B611" s="39" t="s">
        <v>1112</v>
      </c>
      <c r="C611" s="40" t="s">
        <v>636</v>
      </c>
      <c r="D611" s="40" t="s">
        <v>586</v>
      </c>
    </row>
    <row r="612" spans="2:4" x14ac:dyDescent="0.3">
      <c r="B612" s="41" t="s">
        <v>1113</v>
      </c>
      <c r="C612" s="42" t="s">
        <v>637</v>
      </c>
      <c r="D612" s="42" t="s">
        <v>586</v>
      </c>
    </row>
    <row r="613" spans="2:4" x14ac:dyDescent="0.3">
      <c r="B613" s="39" t="s">
        <v>1114</v>
      </c>
      <c r="C613" s="40" t="s">
        <v>638</v>
      </c>
      <c r="D613" s="40" t="s">
        <v>586</v>
      </c>
    </row>
    <row r="614" spans="2:4" x14ac:dyDescent="0.3">
      <c r="B614" s="41" t="s">
        <v>1115</v>
      </c>
      <c r="C614" s="42" t="s">
        <v>639</v>
      </c>
      <c r="D614" s="42" t="s">
        <v>586</v>
      </c>
    </row>
    <row r="615" spans="2:4" x14ac:dyDescent="0.3">
      <c r="B615" s="39" t="s">
        <v>1116</v>
      </c>
      <c r="C615" s="40" t="s">
        <v>640</v>
      </c>
      <c r="D615" s="40" t="s">
        <v>586</v>
      </c>
    </row>
    <row r="616" spans="2:4" x14ac:dyDescent="0.3">
      <c r="B616" s="41" t="s">
        <v>1117</v>
      </c>
      <c r="C616" s="42" t="s">
        <v>641</v>
      </c>
      <c r="D616" s="42" t="s">
        <v>586</v>
      </c>
    </row>
    <row r="617" spans="2:4" x14ac:dyDescent="0.3">
      <c r="B617" s="39" t="s">
        <v>1118</v>
      </c>
      <c r="C617" s="40" t="s">
        <v>642</v>
      </c>
      <c r="D617" s="40" t="s">
        <v>586</v>
      </c>
    </row>
    <row r="618" spans="2:4" x14ac:dyDescent="0.3">
      <c r="B618" s="41" t="s">
        <v>1119</v>
      </c>
      <c r="C618" s="42" t="s">
        <v>643</v>
      </c>
      <c r="D618" s="42" t="s">
        <v>586</v>
      </c>
    </row>
    <row r="619" spans="2:4" x14ac:dyDescent="0.3">
      <c r="B619" s="39" t="s">
        <v>1120</v>
      </c>
      <c r="C619" s="40" t="s">
        <v>644</v>
      </c>
      <c r="D619" s="40" t="s">
        <v>586</v>
      </c>
    </row>
    <row r="620" spans="2:4" x14ac:dyDescent="0.3">
      <c r="B620" s="41" t="s">
        <v>1121</v>
      </c>
      <c r="C620" s="42" t="s">
        <v>645</v>
      </c>
      <c r="D620" s="42" t="s">
        <v>586</v>
      </c>
    </row>
    <row r="621" spans="2:4" x14ac:dyDescent="0.3">
      <c r="B621" s="39" t="s">
        <v>1122</v>
      </c>
      <c r="C621" s="40" t="s">
        <v>646</v>
      </c>
      <c r="D621" s="40" t="s">
        <v>586</v>
      </c>
    </row>
    <row r="622" spans="2:4" x14ac:dyDescent="0.3">
      <c r="B622" s="41" t="s">
        <v>1123</v>
      </c>
      <c r="C622" s="42" t="s">
        <v>647</v>
      </c>
      <c r="D622" s="42" t="s">
        <v>586</v>
      </c>
    </row>
    <row r="623" spans="2:4" x14ac:dyDescent="0.3">
      <c r="B623" s="39" t="s">
        <v>1124</v>
      </c>
      <c r="C623" s="40" t="s">
        <v>648</v>
      </c>
      <c r="D623" s="40" t="s">
        <v>586</v>
      </c>
    </row>
    <row r="624" spans="2:4" x14ac:dyDescent="0.3">
      <c r="B624" s="41" t="s">
        <v>1125</v>
      </c>
      <c r="C624" s="42" t="s">
        <v>649</v>
      </c>
      <c r="D624" s="42" t="s">
        <v>586</v>
      </c>
    </row>
    <row r="625" spans="2:4" x14ac:dyDescent="0.3">
      <c r="B625" s="39" t="s">
        <v>1126</v>
      </c>
      <c r="C625" s="40" t="s">
        <v>650</v>
      </c>
      <c r="D625" s="40" t="s">
        <v>586</v>
      </c>
    </row>
    <row r="626" spans="2:4" x14ac:dyDescent="0.3">
      <c r="B626" s="41" t="s">
        <v>1127</v>
      </c>
      <c r="C626" s="42" t="s">
        <v>651</v>
      </c>
      <c r="D626" s="42" t="s">
        <v>586</v>
      </c>
    </row>
    <row r="627" spans="2:4" x14ac:dyDescent="0.3">
      <c r="B627" s="39" t="s">
        <v>1128</v>
      </c>
      <c r="C627" s="40" t="s">
        <v>652</v>
      </c>
      <c r="D627" s="40" t="s">
        <v>586</v>
      </c>
    </row>
    <row r="628" spans="2:4" x14ac:dyDescent="0.3">
      <c r="B628" s="41" t="s">
        <v>1129</v>
      </c>
      <c r="C628" s="42" t="s">
        <v>653</v>
      </c>
      <c r="D628" s="42" t="s">
        <v>586</v>
      </c>
    </row>
    <row r="629" spans="2:4" x14ac:dyDescent="0.3">
      <c r="B629" s="39" t="s">
        <v>1130</v>
      </c>
      <c r="C629" s="40" t="s">
        <v>654</v>
      </c>
      <c r="D629" s="40" t="s">
        <v>586</v>
      </c>
    </row>
    <row r="630" spans="2:4" x14ac:dyDescent="0.3">
      <c r="B630" s="41" t="s">
        <v>1131</v>
      </c>
      <c r="C630" s="42" t="s">
        <v>655</v>
      </c>
      <c r="D630" s="42" t="s">
        <v>586</v>
      </c>
    </row>
    <row r="631" spans="2:4" x14ac:dyDescent="0.3">
      <c r="B631" s="39" t="s">
        <v>1132</v>
      </c>
      <c r="C631" s="40" t="s">
        <v>656</v>
      </c>
      <c r="D631" s="40" t="s">
        <v>586</v>
      </c>
    </row>
    <row r="632" spans="2:4" x14ac:dyDescent="0.3">
      <c r="B632" s="41" t="s">
        <v>1133</v>
      </c>
      <c r="C632" s="42" t="s">
        <v>657</v>
      </c>
      <c r="D632" s="42" t="s">
        <v>586</v>
      </c>
    </row>
    <row r="633" spans="2:4" x14ac:dyDescent="0.3">
      <c r="B633" s="39" t="s">
        <v>1134</v>
      </c>
      <c r="C633" s="40" t="s">
        <v>658</v>
      </c>
      <c r="D633" s="40" t="s">
        <v>586</v>
      </c>
    </row>
    <row r="634" spans="2:4" x14ac:dyDescent="0.3">
      <c r="B634" s="41" t="s">
        <v>1135</v>
      </c>
      <c r="C634" s="42" t="s">
        <v>659</v>
      </c>
      <c r="D634" s="42" t="s">
        <v>586</v>
      </c>
    </row>
    <row r="635" spans="2:4" x14ac:dyDescent="0.3">
      <c r="B635" s="39" t="s">
        <v>1136</v>
      </c>
      <c r="C635" s="40" t="s">
        <v>660</v>
      </c>
      <c r="D635" s="40" t="s">
        <v>586</v>
      </c>
    </row>
    <row r="636" spans="2:4" x14ac:dyDescent="0.3">
      <c r="B636" s="41" t="s">
        <v>1137</v>
      </c>
      <c r="C636" s="42" t="s">
        <v>661</v>
      </c>
      <c r="D636" s="42" t="s">
        <v>586</v>
      </c>
    </row>
    <row r="637" spans="2:4" x14ac:dyDescent="0.3">
      <c r="B637" s="39" t="s">
        <v>1138</v>
      </c>
      <c r="C637" s="40" t="s">
        <v>662</v>
      </c>
      <c r="D637" s="40" t="s">
        <v>586</v>
      </c>
    </row>
    <row r="638" spans="2:4" x14ac:dyDescent="0.3">
      <c r="B638" s="41" t="s">
        <v>1139</v>
      </c>
      <c r="C638" s="42" t="s">
        <v>663</v>
      </c>
      <c r="D638" s="42" t="s">
        <v>586</v>
      </c>
    </row>
    <row r="639" spans="2:4" x14ac:dyDescent="0.3">
      <c r="B639" s="39" t="s">
        <v>1140</v>
      </c>
      <c r="C639" s="40" t="s">
        <v>664</v>
      </c>
      <c r="D639" s="40" t="s">
        <v>586</v>
      </c>
    </row>
    <row r="640" spans="2:4" x14ac:dyDescent="0.3">
      <c r="B640" s="41" t="s">
        <v>1141</v>
      </c>
      <c r="C640" s="42" t="s">
        <v>665</v>
      </c>
      <c r="D640" s="42" t="s">
        <v>586</v>
      </c>
    </row>
    <row r="641" spans="2:4" x14ac:dyDescent="0.3">
      <c r="B641" s="39" t="s">
        <v>1142</v>
      </c>
      <c r="C641" s="40" t="s">
        <v>666</v>
      </c>
      <c r="D641" s="40" t="s">
        <v>586</v>
      </c>
    </row>
    <row r="642" spans="2:4" x14ac:dyDescent="0.3">
      <c r="B642" s="41" t="s">
        <v>1143</v>
      </c>
      <c r="C642" s="42" t="s">
        <v>667</v>
      </c>
      <c r="D642" s="42" t="s">
        <v>586</v>
      </c>
    </row>
    <row r="643" spans="2:4" x14ac:dyDescent="0.3">
      <c r="B643" s="39" t="s">
        <v>1144</v>
      </c>
      <c r="C643" s="40" t="s">
        <v>667</v>
      </c>
      <c r="D643" s="40" t="s">
        <v>586</v>
      </c>
    </row>
    <row r="644" spans="2:4" x14ac:dyDescent="0.3">
      <c r="B644" s="41" t="s">
        <v>1145</v>
      </c>
      <c r="C644" s="42" t="s">
        <v>667</v>
      </c>
      <c r="D644" s="42" t="s">
        <v>586</v>
      </c>
    </row>
    <row r="645" spans="2:4" x14ac:dyDescent="0.3">
      <c r="B645" s="39" t="s">
        <v>1146</v>
      </c>
      <c r="C645" s="40" t="s">
        <v>668</v>
      </c>
      <c r="D645" s="40" t="s">
        <v>586</v>
      </c>
    </row>
    <row r="646" spans="2:4" x14ac:dyDescent="0.3">
      <c r="B646" s="41" t="s">
        <v>1147</v>
      </c>
      <c r="C646" s="42" t="s">
        <v>669</v>
      </c>
      <c r="D646" s="42" t="s">
        <v>586</v>
      </c>
    </row>
    <row r="647" spans="2:4" x14ac:dyDescent="0.3">
      <c r="B647" s="39" t="s">
        <v>1148</v>
      </c>
      <c r="C647" s="40" t="s">
        <v>670</v>
      </c>
      <c r="D647" s="40" t="s">
        <v>586</v>
      </c>
    </row>
    <row r="648" spans="2:4" x14ac:dyDescent="0.3">
      <c r="B648" s="41" t="s">
        <v>1149</v>
      </c>
      <c r="C648" s="42" t="s">
        <v>671</v>
      </c>
      <c r="D648" s="42" t="s">
        <v>586</v>
      </c>
    </row>
    <row r="649" spans="2:4" x14ac:dyDescent="0.3">
      <c r="B649" s="39" t="s">
        <v>1150</v>
      </c>
      <c r="C649" s="40" t="s">
        <v>672</v>
      </c>
      <c r="D649" s="40" t="s">
        <v>586</v>
      </c>
    </row>
    <row r="650" spans="2:4" x14ac:dyDescent="0.3">
      <c r="B650" s="41" t="s">
        <v>1151</v>
      </c>
      <c r="C650" s="42" t="s">
        <v>673</v>
      </c>
      <c r="D650" s="42" t="s">
        <v>586</v>
      </c>
    </row>
    <row r="651" spans="2:4" x14ac:dyDescent="0.3">
      <c r="B651" s="39" t="s">
        <v>1152</v>
      </c>
      <c r="C651" s="40" t="s">
        <v>674</v>
      </c>
      <c r="D651" s="40" t="s">
        <v>586</v>
      </c>
    </row>
    <row r="652" spans="2:4" x14ac:dyDescent="0.3">
      <c r="B652" s="41" t="s">
        <v>1153</v>
      </c>
      <c r="C652" s="42" t="s">
        <v>675</v>
      </c>
      <c r="D652" s="42" t="s">
        <v>586</v>
      </c>
    </row>
    <row r="653" spans="2:4" x14ac:dyDescent="0.3">
      <c r="B653" s="39" t="s">
        <v>1154</v>
      </c>
      <c r="C653" s="40" t="s">
        <v>676</v>
      </c>
      <c r="D653" s="40" t="s">
        <v>586</v>
      </c>
    </row>
    <row r="654" spans="2:4" x14ac:dyDescent="0.3">
      <c r="B654" s="41" t="s">
        <v>1155</v>
      </c>
      <c r="C654" s="42" t="s">
        <v>677</v>
      </c>
      <c r="D654" s="42" t="s">
        <v>586</v>
      </c>
    </row>
    <row r="655" spans="2:4" x14ac:dyDescent="0.3">
      <c r="B655" s="39" t="s">
        <v>1156</v>
      </c>
      <c r="C655" s="40" t="s">
        <v>678</v>
      </c>
      <c r="D655" s="40" t="s">
        <v>586</v>
      </c>
    </row>
    <row r="656" spans="2:4" x14ac:dyDescent="0.3">
      <c r="B656" s="41" t="s">
        <v>1157</v>
      </c>
      <c r="C656" s="42" t="s">
        <v>679</v>
      </c>
      <c r="D656" s="42" t="s">
        <v>586</v>
      </c>
    </row>
    <row r="657" spans="2:4" x14ac:dyDescent="0.3">
      <c r="B657" s="39" t="s">
        <v>1158</v>
      </c>
      <c r="C657" s="40" t="s">
        <v>680</v>
      </c>
      <c r="D657" s="40" t="s">
        <v>586</v>
      </c>
    </row>
    <row r="658" spans="2:4" x14ac:dyDescent="0.3">
      <c r="B658" s="41" t="s">
        <v>1159</v>
      </c>
      <c r="C658" s="42" t="s">
        <v>659</v>
      </c>
      <c r="D658" s="42" t="s">
        <v>586</v>
      </c>
    </row>
    <row r="659" spans="2:4" x14ac:dyDescent="0.3">
      <c r="B659" s="39" t="s">
        <v>1160</v>
      </c>
      <c r="C659" s="40" t="s">
        <v>681</v>
      </c>
      <c r="D659" s="40" t="s">
        <v>586</v>
      </c>
    </row>
    <row r="660" spans="2:4" x14ac:dyDescent="0.3">
      <c r="B660" s="41" t="s">
        <v>1161</v>
      </c>
      <c r="C660" s="42" t="s">
        <v>682</v>
      </c>
      <c r="D660" s="42" t="s">
        <v>586</v>
      </c>
    </row>
    <row r="661" spans="2:4" x14ac:dyDescent="0.3">
      <c r="B661" s="39" t="s">
        <v>1162</v>
      </c>
      <c r="C661" s="40" t="s">
        <v>683</v>
      </c>
      <c r="D661" s="40" t="s">
        <v>586</v>
      </c>
    </row>
    <row r="662" spans="2:4" x14ac:dyDescent="0.3">
      <c r="B662" s="41" t="s">
        <v>1163</v>
      </c>
      <c r="C662" s="42" t="s">
        <v>686</v>
      </c>
      <c r="D662" s="42" t="s">
        <v>586</v>
      </c>
    </row>
    <row r="663" spans="2:4" x14ac:dyDescent="0.3">
      <c r="B663" s="39" t="s">
        <v>1333</v>
      </c>
      <c r="C663" s="40"/>
      <c r="D663" s="40"/>
    </row>
    <row r="664" spans="2:4" x14ac:dyDescent="0.3">
      <c r="B664" s="41" t="s">
        <v>1334</v>
      </c>
      <c r="C664" s="42"/>
      <c r="D664" s="42"/>
    </row>
    <row r="665" spans="2:4" x14ac:dyDescent="0.3">
      <c r="B665" s="39" t="s">
        <v>1335</v>
      </c>
      <c r="C665" s="40"/>
      <c r="D665" s="40"/>
    </row>
    <row r="666" spans="2:4" x14ac:dyDescent="0.3">
      <c r="B666" s="41" t="s">
        <v>1336</v>
      </c>
      <c r="C666" s="42"/>
      <c r="D666" s="42"/>
    </row>
    <row r="667" spans="2:4" x14ac:dyDescent="0.3">
      <c r="B667" s="39" t="s">
        <v>1337</v>
      </c>
      <c r="C667" s="40"/>
      <c r="D667" s="40"/>
    </row>
    <row r="668" spans="2:4" x14ac:dyDescent="0.3">
      <c r="B668" s="41" t="s">
        <v>1361</v>
      </c>
      <c r="C668" s="30" t="s">
        <v>690</v>
      </c>
      <c r="D668" s="43" t="s">
        <v>689</v>
      </c>
    </row>
    <row r="669" spans="2:4" x14ac:dyDescent="0.3">
      <c r="B669" s="44" t="s">
        <v>914</v>
      </c>
      <c r="C669" s="35" t="s">
        <v>688</v>
      </c>
      <c r="D669" s="43" t="s">
        <v>689</v>
      </c>
    </row>
    <row r="670" spans="2:4" x14ac:dyDescent="0.3">
      <c r="B670" s="44" t="s">
        <v>915</v>
      </c>
      <c r="C670" s="35" t="s">
        <v>687</v>
      </c>
      <c r="D670" s="43" t="s">
        <v>689</v>
      </c>
    </row>
    <row r="671" spans="2:4" x14ac:dyDescent="0.3">
      <c r="B671" s="44" t="s">
        <v>1358</v>
      </c>
      <c r="C671" s="35" t="s">
        <v>691</v>
      </c>
      <c r="D671" s="43"/>
    </row>
    <row r="672" spans="2:4" x14ac:dyDescent="0.3">
      <c r="B672" s="44" t="s">
        <v>1359</v>
      </c>
      <c r="C672" s="35" t="s">
        <v>690</v>
      </c>
      <c r="D672" s="43"/>
    </row>
    <row r="673" spans="2:4" x14ac:dyDescent="0.3">
      <c r="B673" s="39" t="s">
        <v>1360</v>
      </c>
      <c r="C673" s="40"/>
      <c r="D673" s="40"/>
    </row>
    <row r="674" spans="2:4" x14ac:dyDescent="0.3">
      <c r="B674" s="41"/>
      <c r="C674" s="42"/>
      <c r="D674" s="42"/>
    </row>
    <row r="675" spans="2:4" x14ac:dyDescent="0.3">
      <c r="B675" s="45"/>
      <c r="C675" s="35"/>
      <c r="D675" s="43"/>
    </row>
    <row r="676" spans="2:4" x14ac:dyDescent="0.3">
      <c r="B676" s="45"/>
      <c r="C676" s="35"/>
      <c r="D676" s="43"/>
    </row>
    <row r="677" spans="2:4" x14ac:dyDescent="0.3">
      <c r="B677" s="45"/>
      <c r="C677" s="43"/>
      <c r="D677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C2E6A-3E3B-4943-B854-13FFE45D8B5E}">
  <dimension ref="A1:K29"/>
  <sheetViews>
    <sheetView zoomScale="127" zoomScaleNormal="160" workbookViewId="0">
      <pane ySplit="1" topLeftCell="A2" activePane="bottomLeft" state="frozen"/>
      <selection activeCell="B1" sqref="B1"/>
      <selection pane="bottomLeft" activeCell="E18" sqref="E18"/>
    </sheetView>
  </sheetViews>
  <sheetFormatPr baseColWidth="10" defaultColWidth="16.6640625" defaultRowHeight="14.4" x14ac:dyDescent="0.3"/>
  <sheetData>
    <row r="1" spans="1:11" s="64" customFormat="1" ht="75.599999999999994" customHeight="1" x14ac:dyDescent="0.3">
      <c r="A1" s="63"/>
    </row>
    <row r="2" spans="1:11" x14ac:dyDescent="0.3">
      <c r="A2" s="8" t="s">
        <v>0</v>
      </c>
      <c r="B2" s="8" t="s">
        <v>10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8</v>
      </c>
      <c r="J2" s="8" t="s">
        <v>9</v>
      </c>
      <c r="K2" s="8" t="s">
        <v>7</v>
      </c>
    </row>
    <row r="3" spans="1:11" x14ac:dyDescent="0.3">
      <c r="A3" s="19">
        <v>1</v>
      </c>
      <c r="B3" s="21" t="s">
        <v>39</v>
      </c>
      <c r="C3" s="19" t="s">
        <v>35</v>
      </c>
      <c r="D3" s="19" t="s">
        <v>24</v>
      </c>
      <c r="E3" s="19" t="s">
        <v>29</v>
      </c>
      <c r="F3" s="19">
        <v>111111111</v>
      </c>
      <c r="G3" s="20" t="s">
        <v>30</v>
      </c>
      <c r="H3" s="19" t="s">
        <v>31</v>
      </c>
      <c r="I3" s="19" t="s">
        <v>24</v>
      </c>
      <c r="J3" s="19" t="s">
        <v>32</v>
      </c>
      <c r="K3" s="19">
        <v>11111</v>
      </c>
    </row>
    <row r="4" spans="1:11" x14ac:dyDescent="0.3">
      <c r="A4" s="17">
        <v>2</v>
      </c>
      <c r="B4" s="24" t="s">
        <v>1395</v>
      </c>
      <c r="C4" s="17"/>
      <c r="D4" s="17"/>
      <c r="E4" s="17"/>
      <c r="F4" s="17"/>
      <c r="G4" s="25"/>
      <c r="H4" s="17"/>
      <c r="I4" s="17"/>
      <c r="J4" s="17"/>
      <c r="K4" s="17"/>
    </row>
    <row r="5" spans="1:11" x14ac:dyDescent="0.3">
      <c r="A5" s="17">
        <v>3</v>
      </c>
      <c r="B5" s="24" t="s">
        <v>40</v>
      </c>
      <c r="C5" s="17"/>
      <c r="D5" s="17"/>
      <c r="E5" s="17"/>
      <c r="F5" s="17"/>
      <c r="G5" s="25"/>
      <c r="H5" s="17"/>
      <c r="I5" s="17"/>
      <c r="J5" s="17"/>
      <c r="K5" s="17"/>
    </row>
    <row r="6" spans="1:11" x14ac:dyDescent="0.3">
      <c r="A6" s="17">
        <v>4</v>
      </c>
      <c r="B6" s="24" t="s">
        <v>1396</v>
      </c>
      <c r="C6" s="17"/>
      <c r="D6" s="17"/>
      <c r="E6" s="17"/>
      <c r="F6" s="17"/>
      <c r="G6" s="25"/>
      <c r="H6" s="17"/>
      <c r="I6" s="17"/>
      <c r="J6" s="17"/>
      <c r="K6" s="17"/>
    </row>
    <row r="7" spans="1:11" x14ac:dyDescent="0.3">
      <c r="A7" s="17">
        <v>5</v>
      </c>
      <c r="B7" s="24" t="s">
        <v>36</v>
      </c>
      <c r="C7" s="17"/>
      <c r="D7" s="17"/>
      <c r="E7" s="17"/>
      <c r="F7" s="17"/>
      <c r="G7" s="25"/>
      <c r="H7" s="17"/>
      <c r="I7" s="17"/>
      <c r="J7" s="17"/>
      <c r="K7" s="17"/>
    </row>
    <row r="8" spans="1:11" x14ac:dyDescent="0.3">
      <c r="A8" s="17">
        <v>6</v>
      </c>
      <c r="B8" s="24" t="s">
        <v>37</v>
      </c>
      <c r="C8" s="17"/>
      <c r="D8" s="17"/>
      <c r="E8" s="17"/>
      <c r="F8" s="17"/>
      <c r="G8" s="25"/>
      <c r="H8" s="17"/>
      <c r="I8" s="17"/>
      <c r="J8" s="17"/>
      <c r="K8" s="17"/>
    </row>
    <row r="9" spans="1:11" x14ac:dyDescent="0.3">
      <c r="A9" s="17">
        <v>7</v>
      </c>
      <c r="B9" s="24" t="s">
        <v>1404</v>
      </c>
      <c r="C9" s="17"/>
      <c r="D9" s="17"/>
      <c r="E9" s="17"/>
      <c r="F9" s="17"/>
      <c r="G9" s="25"/>
      <c r="H9" s="17"/>
      <c r="I9" s="17"/>
      <c r="J9" s="17"/>
      <c r="K9" s="17"/>
    </row>
    <row r="10" spans="1:11" x14ac:dyDescent="0.3">
      <c r="A10" s="17">
        <v>8</v>
      </c>
      <c r="B10" t="s">
        <v>1403</v>
      </c>
      <c r="C10" s="17"/>
      <c r="D10" s="17"/>
      <c r="E10" s="17"/>
      <c r="F10" s="17"/>
      <c r="G10" s="25"/>
      <c r="H10" s="17"/>
      <c r="I10" s="17"/>
      <c r="J10" s="17"/>
      <c r="K10" s="17"/>
    </row>
    <row r="11" spans="1:11" x14ac:dyDescent="0.3">
      <c r="A11" s="17">
        <v>9</v>
      </c>
      <c r="B11" s="24" t="s">
        <v>38</v>
      </c>
      <c r="C11" s="17"/>
      <c r="D11" s="17"/>
      <c r="E11" s="17"/>
      <c r="F11" s="17"/>
      <c r="G11" s="25"/>
      <c r="H11" s="17"/>
      <c r="I11" s="17"/>
      <c r="J11" s="17"/>
      <c r="K11" s="17"/>
    </row>
    <row r="12" spans="1:11" x14ac:dyDescent="0.3">
      <c r="A12" s="17">
        <v>10</v>
      </c>
      <c r="B12" s="24" t="s">
        <v>1405</v>
      </c>
      <c r="C12" s="17"/>
      <c r="D12" s="17"/>
      <c r="E12" s="17"/>
      <c r="F12" s="17"/>
      <c r="G12" s="25"/>
      <c r="H12" s="17"/>
      <c r="I12" s="17"/>
      <c r="J12" s="17"/>
      <c r="K12" s="17"/>
    </row>
    <row r="13" spans="1:11" x14ac:dyDescent="0.3">
      <c r="A13" s="17">
        <v>11</v>
      </c>
      <c r="B13" s="24" t="s">
        <v>1395</v>
      </c>
      <c r="C13" s="17"/>
      <c r="D13" s="17"/>
      <c r="E13" s="17"/>
      <c r="F13" s="17"/>
      <c r="G13" s="25"/>
      <c r="H13" s="17"/>
      <c r="I13" s="17"/>
      <c r="J13" s="17"/>
      <c r="K13" s="17"/>
    </row>
    <row r="14" spans="1:11" x14ac:dyDescent="0.3">
      <c r="A14" s="17">
        <v>12</v>
      </c>
      <c r="B14" s="24" t="s">
        <v>1399</v>
      </c>
      <c r="C14" s="17"/>
      <c r="D14" s="17"/>
      <c r="E14" s="17"/>
      <c r="F14" s="17">
        <v>992773897</v>
      </c>
      <c r="G14" s="25"/>
      <c r="H14" s="17"/>
      <c r="I14" s="17"/>
      <c r="J14" s="17"/>
      <c r="K14" s="17"/>
    </row>
    <row r="15" spans="1:11" x14ac:dyDescent="0.3">
      <c r="A15" s="17">
        <v>13</v>
      </c>
      <c r="B15" s="24" t="s">
        <v>1406</v>
      </c>
      <c r="C15" s="17"/>
      <c r="D15" s="17"/>
      <c r="E15" s="17"/>
      <c r="F15" s="17"/>
      <c r="G15" s="25"/>
      <c r="H15" s="17"/>
      <c r="I15" s="17"/>
      <c r="J15" s="17"/>
      <c r="K15" s="17"/>
    </row>
    <row r="18" spans="3:5" x14ac:dyDescent="0.3">
      <c r="D18" s="61"/>
      <c r="E18" s="61"/>
    </row>
    <row r="19" spans="3:5" x14ac:dyDescent="0.3">
      <c r="D19" s="61"/>
      <c r="E19" s="61"/>
    </row>
    <row r="20" spans="3:5" x14ac:dyDescent="0.3">
      <c r="D20" s="61"/>
      <c r="E20" s="61"/>
    </row>
    <row r="21" spans="3:5" x14ac:dyDescent="0.3">
      <c r="D21" s="61"/>
      <c r="E21" s="61"/>
    </row>
    <row r="22" spans="3:5" x14ac:dyDescent="0.3">
      <c r="D22" s="61"/>
      <c r="E22" s="61"/>
    </row>
    <row r="23" spans="3:5" x14ac:dyDescent="0.3">
      <c r="D23" s="61"/>
      <c r="E23" s="61"/>
    </row>
    <row r="24" spans="3:5" x14ac:dyDescent="0.3">
      <c r="D24" s="61"/>
      <c r="E24" s="61"/>
    </row>
    <row r="25" spans="3:5" x14ac:dyDescent="0.3">
      <c r="D25" s="61"/>
      <c r="E25" s="61"/>
    </row>
    <row r="26" spans="3:5" x14ac:dyDescent="0.3">
      <c r="D26" s="61"/>
      <c r="E26" s="61"/>
    </row>
    <row r="27" spans="3:5" x14ac:dyDescent="0.3">
      <c r="D27" s="61"/>
      <c r="E27" s="61"/>
    </row>
    <row r="28" spans="3:5" x14ac:dyDescent="0.3">
      <c r="D28" s="61"/>
      <c r="E28" s="61"/>
    </row>
    <row r="29" spans="3:5" x14ac:dyDescent="0.3">
      <c r="C29" s="59"/>
      <c r="D29" s="60"/>
      <c r="E29" s="60"/>
    </row>
  </sheetData>
  <mergeCells count="1">
    <mergeCell ref="A1:XFD1"/>
  </mergeCells>
  <hyperlinks>
    <hyperlink ref="G3" r:id="rId1" xr:uid="{C4FFA095-B9D0-4037-8EFE-187BFA6ABEFB}"/>
  </hyperlinks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72BDB-557F-4320-B016-7DC10DE21DB4}">
  <dimension ref="A1:I372"/>
  <sheetViews>
    <sheetView zoomScaleNormal="100" workbookViewId="0">
      <pane ySplit="1" topLeftCell="A331" activePane="bottomLeft" state="frozen"/>
      <selection pane="bottomLeft" activeCell="G350" sqref="G350"/>
    </sheetView>
  </sheetViews>
  <sheetFormatPr baseColWidth="10" defaultColWidth="16.6640625" defaultRowHeight="14.4" x14ac:dyDescent="0.3"/>
  <cols>
    <col min="1" max="1" width="9.44140625" bestFit="1" customWidth="1"/>
    <col min="2" max="2" width="14.6640625" style="1" customWidth="1"/>
    <col min="3" max="3" width="20.44140625" bestFit="1" customWidth="1"/>
    <col min="4" max="4" width="28.88671875" customWidth="1"/>
    <col min="5" max="5" width="27.6640625" style="17" customWidth="1"/>
    <col min="6" max="6" width="28.88671875" customWidth="1"/>
    <col min="7" max="7" width="11.109375" style="17" customWidth="1"/>
    <col min="8" max="8" width="21" style="56" customWidth="1"/>
  </cols>
  <sheetData>
    <row r="1" spans="1:9" s="64" customFormat="1" ht="75.599999999999994" customHeight="1" x14ac:dyDescent="0.3">
      <c r="A1" s="63"/>
    </row>
    <row r="2" spans="1:9" x14ac:dyDescent="0.3">
      <c r="A2" t="s">
        <v>0</v>
      </c>
      <c r="B2" s="1" t="s">
        <v>18</v>
      </c>
      <c r="C2" t="s">
        <v>19</v>
      </c>
      <c r="D2" t="s">
        <v>20</v>
      </c>
      <c r="E2" s="17" t="s">
        <v>15</v>
      </c>
      <c r="F2" t="s">
        <v>14</v>
      </c>
      <c r="G2" s="17" t="s">
        <v>16</v>
      </c>
      <c r="H2" s="56" t="s">
        <v>1397</v>
      </c>
      <c r="I2" t="s">
        <v>1398</v>
      </c>
    </row>
    <row r="3" spans="1:9" x14ac:dyDescent="0.3">
      <c r="A3" s="17">
        <v>1</v>
      </c>
      <c r="B3" s="18">
        <v>46029</v>
      </c>
      <c r="C3" s="17">
        <v>5</v>
      </c>
      <c r="D3" s="17" t="str">
        <f>IF(Entradas[[#This Row],[Proveedor (código)]]="","",VLOOKUP(Entradas[[#This Row],[Proveedor (código)]],Proveedores[[#All],[Código]:[Nombre fiscal]],2,FALSE))</f>
        <v>Almacen Banco de Alimentos</v>
      </c>
      <c r="E3" s="17" t="s">
        <v>915</v>
      </c>
      <c r="F3" s="17" t="str">
        <f>IF(Entradas[[#This Row],[Artículo (código)]]="","",VLOOKUP(Entradas[[#This Row],[Artículo (código)]],Existencias!A:D,4,FALSE))</f>
        <v>Chorizo Finas Hierbas x4</v>
      </c>
      <c r="G3" s="17">
        <v>1</v>
      </c>
      <c r="H3" s="57">
        <f>VLOOKUP(Entradas[[#This Row],[Artículo (código)]],Existencias!A:F,6,FALSE)*Entradas[[#This Row],[Cantidad]]</f>
        <v>12.23</v>
      </c>
      <c r="I3" s="58">
        <f>Entradas[[#This Row],[Precio POR UNIDAD]]*Entradas[[#This Row],[Cantidad]]</f>
        <v>12.23</v>
      </c>
    </row>
    <row r="4" spans="1:9" x14ac:dyDescent="0.3">
      <c r="A4" s="17">
        <v>1</v>
      </c>
      <c r="B4" s="18">
        <v>46029</v>
      </c>
      <c r="C4" s="17">
        <v>5</v>
      </c>
      <c r="D4" s="17" t="str">
        <f>IF(Entradas[[#This Row],[Proveedor (código)]]="","",VLOOKUP(Entradas[[#This Row],[Proveedor (código)]],Proveedores[[#All],[Código]:[Nombre fiscal]],2,FALSE))</f>
        <v>Almacen Banco de Alimentos</v>
      </c>
      <c r="E4" s="17" t="s">
        <v>914</v>
      </c>
      <c r="F4" s="17" t="str">
        <f>IF(Entradas[[#This Row],[Artículo (código)]]="","",VLOOKUP(Entradas[[#This Row],[Artículo (código)]],Existencias!A:D,4,FALSE))</f>
        <v>Chorizo Parrillero x 4</v>
      </c>
      <c r="G4" s="17">
        <v>1</v>
      </c>
      <c r="H4" s="57">
        <f>VLOOKUP(Entradas[[#This Row],[Artículo (código)]],Existencias!A:F,6,FALSE)*Entradas[[#This Row],[Cantidad]]</f>
        <v>8.5399999999999991</v>
      </c>
      <c r="I4" s="58">
        <f>Entradas[[#This Row],[Precio POR UNIDAD]]*Entradas[[#This Row],[Cantidad]]</f>
        <v>8.5399999999999991</v>
      </c>
    </row>
    <row r="5" spans="1:9" x14ac:dyDescent="0.3">
      <c r="A5" s="17">
        <v>1</v>
      </c>
      <c r="B5" s="18">
        <v>46029</v>
      </c>
      <c r="C5" s="17">
        <v>5</v>
      </c>
      <c r="D5" s="17" t="str">
        <f>IF(Entradas[[#This Row],[Proveedor (código)]]="","",VLOOKUP(Entradas[[#This Row],[Proveedor (código)]],Proveedores[[#All],[Código]:[Nombre fiscal]],2,FALSE))</f>
        <v>Almacen Banco de Alimentos</v>
      </c>
      <c r="E5" s="17" t="s">
        <v>1361</v>
      </c>
      <c r="F5" s="17" t="str">
        <f>IF(Entradas[[#This Row],[Artículo (código)]]="","",VLOOKUP(Entradas[[#This Row],[Artículo (código)]],Existencias!A:D,4,FALSE))</f>
        <v>Chorizo Preco x 4</v>
      </c>
      <c r="G5" s="17">
        <v>6</v>
      </c>
      <c r="H5" s="57">
        <f>VLOOKUP(Entradas[[#This Row],[Artículo (código)]],Existencias!A:F,6,FALSE)*Entradas[[#This Row],[Cantidad]]</f>
        <v>0</v>
      </c>
      <c r="I5" s="58">
        <f>Entradas[[#This Row],[Precio POR UNIDAD]]*Entradas[[#This Row],[Cantidad]]</f>
        <v>0</v>
      </c>
    </row>
    <row r="6" spans="1:9" x14ac:dyDescent="0.3">
      <c r="A6" s="17">
        <v>1</v>
      </c>
      <c r="B6" s="18">
        <v>46029</v>
      </c>
      <c r="C6" s="17">
        <v>5</v>
      </c>
      <c r="D6" s="17" t="str">
        <f>IF(Entradas[[#This Row],[Proveedor (código)]]="","",VLOOKUP(Entradas[[#This Row],[Proveedor (código)]],Proveedores[[#All],[Código]:[Nombre fiscal]],2,FALSE))</f>
        <v>Almacen Banco de Alimentos</v>
      </c>
      <c r="E6" s="17" t="s">
        <v>1358</v>
      </c>
      <c r="F6" s="17" t="str">
        <f>IF(Entradas[[#This Row],[Artículo (código)]]="","",VLOOKUP(Entradas[[#This Row],[Artículo (código)]],Existencias!A:D,4,FALSE))</f>
        <v>Hot dog de pollo x 250 gr</v>
      </c>
      <c r="G6" s="17">
        <v>18</v>
      </c>
      <c r="H6" s="57">
        <f>VLOOKUP(Entradas[[#This Row],[Artículo (código)]],Existencias!A:F,6,FALSE)*Entradas[[#This Row],[Cantidad]]</f>
        <v>90.72</v>
      </c>
      <c r="I6" s="58">
        <f>Entradas[[#This Row],[Precio POR UNIDAD]]*Entradas[[#This Row],[Cantidad]]</f>
        <v>1632.96</v>
      </c>
    </row>
    <row r="7" spans="1:9" x14ac:dyDescent="0.3">
      <c r="A7" s="17">
        <v>1</v>
      </c>
      <c r="B7" s="18">
        <v>46029</v>
      </c>
      <c r="C7" s="17">
        <v>8</v>
      </c>
      <c r="D7" s="17" t="str">
        <f>IF(Entradas[[#This Row],[Proveedor (código)]]="","",VLOOKUP(Entradas[[#This Row],[Proveedor (código)]],Proveedores[[#All],[Código]:[Nombre fiscal]],2,FALSE))</f>
        <v>MOR</v>
      </c>
      <c r="E7" s="17" t="s">
        <v>989</v>
      </c>
      <c r="F7" s="17" t="str">
        <f>IF(Entradas[[#This Row],[Artículo (código)]]="","",VLOOKUP(Entradas[[#This Row],[Artículo (código)]],Existencias!A:D,4,FALSE))</f>
        <v>Huevo pardo</v>
      </c>
      <c r="G7" s="17">
        <v>30</v>
      </c>
      <c r="H7" s="57">
        <f>VLOOKUP(Entradas[[#This Row],[Artículo (código)]],Existencias!A:F,6,FALSE)*Entradas[[#This Row],[Cantidad]]</f>
        <v>0</v>
      </c>
      <c r="I7" s="58">
        <f>Entradas[[#This Row],[Precio POR UNIDAD]]*Entradas[[#This Row],[Cantidad]]</f>
        <v>0</v>
      </c>
    </row>
    <row r="8" spans="1:9" x14ac:dyDescent="0.3">
      <c r="A8" s="17"/>
      <c r="B8" s="18">
        <v>46031</v>
      </c>
      <c r="C8" s="17">
        <v>2</v>
      </c>
      <c r="D8" s="17" t="str">
        <f>IF(Entradas[[#This Row],[Proveedor (código)]]="","",VLOOKUP(Entradas[[#This Row],[Proveedor (código)]],Proveedores[[#All],[Código]:[Nombre fiscal]],2,FALSE))</f>
        <v>PLAZA VEA B.A</v>
      </c>
      <c r="E8" s="46" t="s">
        <v>1366</v>
      </c>
      <c r="F8" s="17" t="str">
        <f>IF(Entradas[[#This Row],[Artículo (código)]]="","",VLOOKUP(Entradas[[#This Row],[Artículo (código)]],Existencias!A:D,4,FALSE))</f>
        <v>Hot dog  pavo</v>
      </c>
      <c r="G8" s="17">
        <v>1</v>
      </c>
      <c r="H8" s="57">
        <f>VLOOKUP(Entradas[[#This Row],[Artículo (código)]],Existencias!A:F,6,FALSE)*Entradas[[#This Row],[Cantidad]]</f>
        <v>1</v>
      </c>
      <c r="I8" s="58">
        <f>Entradas[[#This Row],[Precio POR UNIDAD]]*Entradas[[#This Row],[Cantidad]]</f>
        <v>1</v>
      </c>
    </row>
    <row r="9" spans="1:9" x14ac:dyDescent="0.3">
      <c r="A9" s="17"/>
      <c r="B9" s="18"/>
      <c r="C9" s="17">
        <v>2</v>
      </c>
      <c r="D9" s="17" t="str">
        <f>IF(Entradas[[#This Row],[Proveedor (código)]]="","",VLOOKUP(Entradas[[#This Row],[Proveedor (código)]],Proveedores[[#All],[Código]:[Nombre fiscal]],2,FALSE))</f>
        <v>PLAZA VEA B.A</v>
      </c>
      <c r="E9" s="14" t="s">
        <v>1367</v>
      </c>
      <c r="F9" s="17" t="str">
        <f>IF(Entradas[[#This Row],[Artículo (código)]]="","",VLOOKUP(Entradas[[#This Row],[Artículo (código)]],Existencias!A:D,4,FALSE))</f>
        <v>Salchicha huachana</v>
      </c>
      <c r="G9" s="17">
        <v>2</v>
      </c>
      <c r="H9" s="57">
        <f>VLOOKUP(Entradas[[#This Row],[Artículo (código)]],Existencias!A:F,6,FALSE)*Entradas[[#This Row],[Cantidad]]</f>
        <v>4</v>
      </c>
      <c r="I9" s="58">
        <f>Entradas[[#This Row],[Precio POR UNIDAD]]*Entradas[[#This Row],[Cantidad]]</f>
        <v>8</v>
      </c>
    </row>
    <row r="10" spans="1:9" x14ac:dyDescent="0.3">
      <c r="A10" s="17"/>
      <c r="B10" s="18"/>
      <c r="C10" s="17">
        <v>2</v>
      </c>
      <c r="D10" s="17" t="str">
        <f>IF(Entradas[[#This Row],[Proveedor (código)]]="","",VLOOKUP(Entradas[[#This Row],[Proveedor (código)]],Proveedores[[#All],[Código]:[Nombre fiscal]],2,FALSE))</f>
        <v>PLAZA VEA B.A</v>
      </c>
      <c r="E10" s="14" t="s">
        <v>1368</v>
      </c>
      <c r="F10" s="17" t="str">
        <f>IF(Entradas[[#This Row],[Artículo (código)]]="","",VLOOKUP(Entradas[[#This Row],[Artículo (código)]],Existencias!A:D,4,FALSE))</f>
        <v>Salchichon saborizado</v>
      </c>
      <c r="G10" s="17">
        <v>1</v>
      </c>
      <c r="H10" s="57">
        <f>VLOOKUP(Entradas[[#This Row],[Artículo (código)]],Existencias!A:F,6,FALSE)*Entradas[[#This Row],[Cantidad]]</f>
        <v>1</v>
      </c>
      <c r="I10" s="58">
        <f>Entradas[[#This Row],[Precio POR UNIDAD]]*Entradas[[#This Row],[Cantidad]]</f>
        <v>1</v>
      </c>
    </row>
    <row r="11" spans="1:9" x14ac:dyDescent="0.3">
      <c r="A11" s="17"/>
      <c r="B11" s="18">
        <v>46034</v>
      </c>
      <c r="C11" s="17">
        <v>4</v>
      </c>
      <c r="D11" s="17" t="str">
        <f>IF(Entradas[[#This Row],[Proveedor (código)]]="","",VLOOKUP(Entradas[[#This Row],[Proveedor (código)]],Proveedores[[#All],[Código]:[Nombre fiscal]],2,FALSE))</f>
        <v>Metro B.A</v>
      </c>
      <c r="E11" s="17" t="s">
        <v>1358</v>
      </c>
      <c r="F11" s="17" t="str">
        <f>IF(Entradas[[#This Row],[Artículo (código)]]="","",VLOOKUP(Entradas[[#This Row],[Artículo (código)]],Existencias!A:D,4,FALSE))</f>
        <v>Hot dog de pollo x 250 gr</v>
      </c>
      <c r="G11" s="17">
        <v>8</v>
      </c>
      <c r="H11" s="57">
        <f>VLOOKUP(Entradas[[#This Row],[Artículo (código)]],Existencias!A:F,6,FALSE)*Entradas[[#This Row],[Cantidad]]</f>
        <v>40.32</v>
      </c>
      <c r="I11" s="58">
        <f>Entradas[[#This Row],[Precio POR UNIDAD]]*Entradas[[#This Row],[Cantidad]]</f>
        <v>322.56</v>
      </c>
    </row>
    <row r="12" spans="1:9" x14ac:dyDescent="0.3">
      <c r="A12" s="17"/>
      <c r="B12" s="18">
        <v>46034</v>
      </c>
      <c r="C12" s="17">
        <v>4</v>
      </c>
      <c r="D12" s="17" t="str">
        <f>IF(Entradas[[#This Row],[Proveedor (código)]]="","",VLOOKUP(Entradas[[#This Row],[Proveedor (código)]],Proveedores[[#All],[Código]:[Nombre fiscal]],2,FALSE))</f>
        <v>Metro B.A</v>
      </c>
      <c r="E12" s="46" t="s">
        <v>1058</v>
      </c>
      <c r="F12" s="17" t="str">
        <f>IF(Entradas[[#This Row],[Artículo (código)]]="","",VLOOKUP(Entradas[[#This Row],[Artículo (código)]],Existencias!A:D,4,FALSE))</f>
        <v>Yogurt 120g bebible</v>
      </c>
      <c r="G12" s="17">
        <v>19</v>
      </c>
      <c r="H12" s="57">
        <f>VLOOKUP(Entradas[[#This Row],[Artículo (código)]],Existencias!A:F,6,FALSE)*Entradas[[#This Row],[Cantidad]]</f>
        <v>38.569999999999993</v>
      </c>
      <c r="I12" s="58">
        <f>Entradas[[#This Row],[Precio POR UNIDAD]]*Entradas[[#This Row],[Cantidad]]</f>
        <v>732.82999999999993</v>
      </c>
    </row>
    <row r="13" spans="1:9" x14ac:dyDescent="0.3">
      <c r="A13" s="17"/>
      <c r="B13" s="18">
        <v>46034</v>
      </c>
      <c r="C13" s="17">
        <v>4</v>
      </c>
      <c r="D13" s="17" t="str">
        <f>IF(Entradas[[#This Row],[Proveedor (código)]]="","",VLOOKUP(Entradas[[#This Row],[Proveedor (código)]],Proveedores[[#All],[Código]:[Nombre fiscal]],2,FALSE))</f>
        <v>Metro B.A</v>
      </c>
      <c r="E13" s="14" t="s">
        <v>914</v>
      </c>
      <c r="F13" s="17" t="str">
        <f>IF(Entradas[[#This Row],[Artículo (código)]]="","",VLOOKUP(Entradas[[#This Row],[Artículo (código)]],Existencias!A:D,4,FALSE))</f>
        <v>Chorizo Parrillero x 4</v>
      </c>
      <c r="G13" s="17">
        <v>3</v>
      </c>
      <c r="H13" s="57">
        <f>VLOOKUP(Entradas[[#This Row],[Artículo (código)]],Existencias!A:F,6,FALSE)*Entradas[[#This Row],[Cantidad]]</f>
        <v>25.619999999999997</v>
      </c>
      <c r="I13" s="58">
        <f>Entradas[[#This Row],[Precio POR UNIDAD]]*Entradas[[#This Row],[Cantidad]]</f>
        <v>76.859999999999985</v>
      </c>
    </row>
    <row r="14" spans="1:9" x14ac:dyDescent="0.3">
      <c r="A14" s="17"/>
      <c r="B14" s="18">
        <v>46034</v>
      </c>
      <c r="C14" s="17">
        <v>4</v>
      </c>
      <c r="D14" s="17" t="str">
        <f>IF(Entradas[[#This Row],[Proveedor (código)]]="","",VLOOKUP(Entradas[[#This Row],[Proveedor (código)]],Proveedores[[#All],[Código]:[Nombre fiscal]],2,FALSE))</f>
        <v>Metro B.A</v>
      </c>
      <c r="E14" s="46" t="s">
        <v>800</v>
      </c>
      <c r="F14" s="17" t="str">
        <f>IF(Entradas[[#This Row],[Artículo (código)]]="","",VLOOKUP(Entradas[[#This Row],[Artículo (código)]],Existencias!A:D,4,FALSE))</f>
        <v xml:space="preserve">Arroz 5 kg </v>
      </c>
      <c r="G14" s="17">
        <v>1</v>
      </c>
      <c r="H14" s="57">
        <f>VLOOKUP(Entradas[[#This Row],[Artículo (código)]],Existencias!A:F,6,FALSE)*Entradas[[#This Row],[Cantidad]]</f>
        <v>24.95</v>
      </c>
      <c r="I14" s="58">
        <f>Entradas[[#This Row],[Precio POR UNIDAD]]*Entradas[[#This Row],[Cantidad]]</f>
        <v>24.95</v>
      </c>
    </row>
    <row r="15" spans="1:9" x14ac:dyDescent="0.3">
      <c r="A15" s="17"/>
      <c r="B15" s="18">
        <v>46034</v>
      </c>
      <c r="C15" s="17">
        <v>4</v>
      </c>
      <c r="D15" s="17" t="str">
        <f>IF(Entradas[[#This Row],[Proveedor (código)]]="","",VLOOKUP(Entradas[[#This Row],[Proveedor (código)]],Proveedores[[#All],[Código]:[Nombre fiscal]],2,FALSE))</f>
        <v>Metro B.A</v>
      </c>
      <c r="E15" s="46" t="s">
        <v>750</v>
      </c>
      <c r="F15" s="17" t="str">
        <f>IF(Entradas[[#This Row],[Artículo (código)]]="","",VLOOKUP(Entradas[[#This Row],[Artículo (código)]],Existencias!A:D,4,FALSE))</f>
        <v>Azucar blanca 2 kg</v>
      </c>
      <c r="G15" s="17">
        <v>1</v>
      </c>
      <c r="H15" s="57">
        <f>VLOOKUP(Entradas[[#This Row],[Artículo (código)]],Existencias!A:F,6,FALSE)*Entradas[[#This Row],[Cantidad]]</f>
        <v>7.36</v>
      </c>
      <c r="I15" s="58">
        <f>Entradas[[#This Row],[Precio POR UNIDAD]]*Entradas[[#This Row],[Cantidad]]</f>
        <v>7.36</v>
      </c>
    </row>
    <row r="16" spans="1:9" x14ac:dyDescent="0.3">
      <c r="A16" s="17"/>
      <c r="B16" s="18">
        <v>46034</v>
      </c>
      <c r="C16" s="17">
        <v>4</v>
      </c>
      <c r="D16" s="17" t="str">
        <f>IF(Entradas[[#This Row],[Proveedor (código)]]="","",VLOOKUP(Entradas[[#This Row],[Proveedor (código)]],Proveedores[[#All],[Código]:[Nombre fiscal]],2,FALSE))</f>
        <v>Metro B.A</v>
      </c>
      <c r="E16" s="46" t="s">
        <v>748</v>
      </c>
      <c r="F16" s="17" t="str">
        <f>IF(Entradas[[#This Row],[Artículo (código)]]="","",VLOOKUP(Entradas[[#This Row],[Artículo (código)]],Existencias!A:D,4,FALSE))</f>
        <v>Azucar blanca 1kg</v>
      </c>
      <c r="G16" s="17">
        <v>1</v>
      </c>
      <c r="H16" s="57">
        <f>VLOOKUP(Entradas[[#This Row],[Artículo (código)]],Existencias!A:F,6,FALSE)*Entradas[[#This Row],[Cantidad]]</f>
        <v>3.1</v>
      </c>
      <c r="I16" s="58">
        <f>Entradas[[#This Row],[Precio POR UNIDAD]]*Entradas[[#This Row],[Cantidad]]</f>
        <v>3.1</v>
      </c>
    </row>
    <row r="17" spans="1:9" x14ac:dyDescent="0.3">
      <c r="A17" s="17"/>
      <c r="B17" s="18">
        <v>46034</v>
      </c>
      <c r="C17" s="17">
        <v>4</v>
      </c>
      <c r="D17" s="17" t="str">
        <f>IF(Entradas[[#This Row],[Proveedor (código)]]="","",VLOOKUP(Entradas[[#This Row],[Proveedor (código)]],Proveedores[[#All],[Código]:[Nombre fiscal]],2,FALSE))</f>
        <v>Metro B.A</v>
      </c>
      <c r="E17" s="46" t="s">
        <v>919</v>
      </c>
      <c r="F17" s="17" t="str">
        <f>IF(Entradas[[#This Row],[Artículo (código)]]="","",VLOOKUP(Entradas[[#This Row],[Artículo (código)]],Existencias!A:D,4,FALSE))</f>
        <v>Fideos cortos 250 gr</v>
      </c>
      <c r="G17" s="17">
        <v>5</v>
      </c>
      <c r="H17" s="57">
        <f>VLOOKUP(Entradas[[#This Row],[Artículo (código)]],Existencias!A:F,6,FALSE)*Entradas[[#This Row],[Cantidad]]</f>
        <v>12.9</v>
      </c>
      <c r="I17" s="58">
        <f>Entradas[[#This Row],[Precio POR UNIDAD]]*Entradas[[#This Row],[Cantidad]]</f>
        <v>64.5</v>
      </c>
    </row>
    <row r="18" spans="1:9" x14ac:dyDescent="0.3">
      <c r="A18" s="17"/>
      <c r="B18" s="18">
        <v>46034</v>
      </c>
      <c r="C18" s="17">
        <v>4</v>
      </c>
      <c r="D18" s="17" t="str">
        <f>IF(Entradas[[#This Row],[Proveedor (código)]]="","",VLOOKUP(Entradas[[#This Row],[Proveedor (código)]],Proveedores[[#All],[Código]:[Nombre fiscal]],2,FALSE))</f>
        <v>Metro B.A</v>
      </c>
      <c r="E18" s="46" t="s">
        <v>916</v>
      </c>
      <c r="F18" s="17" t="str">
        <f>IF(Entradas[[#This Row],[Artículo (código)]]="","",VLOOKUP(Entradas[[#This Row],[Artículo (código)]],Existencias!A:D,4,FALSE))</f>
        <v>Fideos largos 500 gr</v>
      </c>
      <c r="G18" s="17">
        <v>4</v>
      </c>
      <c r="H18" s="57">
        <f>VLOOKUP(Entradas[[#This Row],[Artículo (código)]],Existencias!A:F,6,FALSE)*Entradas[[#This Row],[Cantidad]]</f>
        <v>10.84</v>
      </c>
      <c r="I18" s="58">
        <f>Entradas[[#This Row],[Precio POR UNIDAD]]*Entradas[[#This Row],[Cantidad]]</f>
        <v>43.36</v>
      </c>
    </row>
    <row r="19" spans="1:9" x14ac:dyDescent="0.3">
      <c r="A19" s="17"/>
      <c r="B19" s="18">
        <v>46034</v>
      </c>
      <c r="C19" s="17">
        <v>4</v>
      </c>
      <c r="D19" s="17" t="str">
        <f>IF(Entradas[[#This Row],[Proveedor (código)]]="","",VLOOKUP(Entradas[[#This Row],[Proveedor (código)]],Proveedores[[#All],[Código]:[Nombre fiscal]],2,FALSE))</f>
        <v>Metro B.A</v>
      </c>
      <c r="E19" s="46" t="s">
        <v>709</v>
      </c>
      <c r="F19" s="17" t="str">
        <f>IF(Entradas[[#This Row],[Artículo (código)]]="","",VLOOKUP(Entradas[[#This Row],[Artículo (código)]],Existencias!A:D,4,FALSE))</f>
        <v>Sal Mesa 1kg</v>
      </c>
      <c r="G19" s="17">
        <v>1</v>
      </c>
      <c r="H19" s="57">
        <f>VLOOKUP(Entradas[[#This Row],[Artículo (código)]],Existencias!A:F,6,FALSE)*Entradas[[#This Row],[Cantidad]]</f>
        <v>1.67</v>
      </c>
      <c r="I19" s="58">
        <f>Entradas[[#This Row],[Precio POR UNIDAD]]*Entradas[[#This Row],[Cantidad]]</f>
        <v>1.67</v>
      </c>
    </row>
    <row r="20" spans="1:9" x14ac:dyDescent="0.3">
      <c r="A20" s="17"/>
      <c r="B20" s="18">
        <v>46034</v>
      </c>
      <c r="C20" s="17">
        <v>4</v>
      </c>
      <c r="D20" s="17" t="str">
        <f>IF(Entradas[[#This Row],[Proveedor (código)]]="","",VLOOKUP(Entradas[[#This Row],[Proveedor (código)]],Proveedores[[#All],[Código]:[Nombre fiscal]],2,FALSE))</f>
        <v>Metro B.A</v>
      </c>
      <c r="E20" s="46" t="s">
        <v>917</v>
      </c>
      <c r="F20" s="17" t="str">
        <f>IF(Entradas[[#This Row],[Artículo (código)]]="","",VLOOKUP(Entradas[[#This Row],[Artículo (código)]],Existencias!A:D,4,FALSE))</f>
        <v>Fideos largos 900 gr</v>
      </c>
      <c r="G20" s="17">
        <v>2</v>
      </c>
      <c r="H20" s="57">
        <f>VLOOKUP(Entradas[[#This Row],[Artículo (código)]],Existencias!A:F,6,FALSE)*Entradas[[#This Row],[Cantidad]]</f>
        <v>9.5</v>
      </c>
      <c r="I20" s="58">
        <f>Entradas[[#This Row],[Precio POR UNIDAD]]*Entradas[[#This Row],[Cantidad]]</f>
        <v>19</v>
      </c>
    </row>
    <row r="21" spans="1:9" x14ac:dyDescent="0.3">
      <c r="A21" s="17"/>
      <c r="B21" s="18">
        <v>46034</v>
      </c>
      <c r="C21" s="17">
        <v>4</v>
      </c>
      <c r="D21" s="17" t="str">
        <f>IF(Entradas[[#This Row],[Proveedor (código)]]="","",VLOOKUP(Entradas[[#This Row],[Proveedor (código)]],Proveedores[[#All],[Código]:[Nombre fiscal]],2,FALSE))</f>
        <v>Metro B.A</v>
      </c>
      <c r="E21" s="46" t="s">
        <v>788</v>
      </c>
      <c r="F21" s="17" t="str">
        <f>IF(Entradas[[#This Row],[Artículo (código)]]="","",VLOOKUP(Entradas[[#This Row],[Artículo (código)]],Existencias!A:D,4,FALSE))</f>
        <v>Avena  1 kl</v>
      </c>
      <c r="G21" s="17">
        <v>1</v>
      </c>
      <c r="H21" s="57">
        <f>VLOOKUP(Entradas[[#This Row],[Artículo (código)]],Existencias!A:F,6,FALSE)*Entradas[[#This Row],[Cantidad]]</f>
        <v>7.75</v>
      </c>
      <c r="I21" s="58">
        <f>Entradas[[#This Row],[Precio POR UNIDAD]]*Entradas[[#This Row],[Cantidad]]</f>
        <v>7.75</v>
      </c>
    </row>
    <row r="22" spans="1:9" x14ac:dyDescent="0.3">
      <c r="A22" s="17"/>
      <c r="B22" s="18">
        <v>46034</v>
      </c>
      <c r="C22" s="17">
        <v>4</v>
      </c>
      <c r="D22" s="17" t="str">
        <f>IF(Entradas[[#This Row],[Proveedor (código)]]="","",VLOOKUP(Entradas[[#This Row],[Proveedor (código)]],Proveedores[[#All],[Código]:[Nombre fiscal]],2,FALSE))</f>
        <v>Metro B.A</v>
      </c>
      <c r="E22" s="46" t="s">
        <v>804</v>
      </c>
      <c r="F22" s="17" t="str">
        <f>IF(Entradas[[#This Row],[Artículo (código)]]="","",VLOOKUP(Entradas[[#This Row],[Artículo (código)]],Existencias!A:D,4,FALSE))</f>
        <v>Arroz Integral 1 kg</v>
      </c>
      <c r="G22" s="17">
        <v>1</v>
      </c>
      <c r="H22" s="57">
        <f>VLOOKUP(Entradas[[#This Row],[Artículo (código)]],Existencias!A:F,6,FALSE)*Entradas[[#This Row],[Cantidad]]</f>
        <v>4.6900000000000004</v>
      </c>
      <c r="I22" s="58">
        <f>Entradas[[#This Row],[Precio POR UNIDAD]]*Entradas[[#This Row],[Cantidad]]</f>
        <v>4.6900000000000004</v>
      </c>
    </row>
    <row r="23" spans="1:9" x14ac:dyDescent="0.3">
      <c r="A23" s="17"/>
      <c r="B23" s="18">
        <v>46034</v>
      </c>
      <c r="C23" s="17">
        <v>4</v>
      </c>
      <c r="D23" s="17" t="str">
        <f>IF(Entradas[[#This Row],[Proveedor (código)]]="","",VLOOKUP(Entradas[[#This Row],[Proveedor (código)]],Proveedores[[#All],[Código]:[Nombre fiscal]],2,FALSE))</f>
        <v>Metro B.A</v>
      </c>
      <c r="E23" s="46" t="s">
        <v>799</v>
      </c>
      <c r="F23" s="17" t="str">
        <f>IF(Entradas[[#This Row],[Artículo (código)]]="","",VLOOKUP(Entradas[[#This Row],[Artículo (código)]],Existencias!A:D,4,FALSE))</f>
        <v>Arroz 1 kg</v>
      </c>
      <c r="G23" s="17">
        <v>2</v>
      </c>
      <c r="H23" s="57">
        <f>VLOOKUP(Entradas[[#This Row],[Artículo (código)]],Existencias!A:F,6,FALSE)*Entradas[[#This Row],[Cantidad]]</f>
        <v>9.4600000000000009</v>
      </c>
      <c r="I23" s="58">
        <f>Entradas[[#This Row],[Precio POR UNIDAD]]*Entradas[[#This Row],[Cantidad]]</f>
        <v>18.920000000000002</v>
      </c>
    </row>
    <row r="24" spans="1:9" x14ac:dyDescent="0.3">
      <c r="A24" s="17"/>
      <c r="B24" s="18">
        <v>46034</v>
      </c>
      <c r="C24" s="17">
        <v>4</v>
      </c>
      <c r="D24" s="17" t="str">
        <f>IF(Entradas[[#This Row],[Proveedor (código)]]="","",VLOOKUP(Entradas[[#This Row],[Proveedor (código)]],Proveedores[[#All],[Código]:[Nombre fiscal]],2,FALSE))</f>
        <v>Metro B.A</v>
      </c>
      <c r="E24" s="46" t="s">
        <v>755</v>
      </c>
      <c r="F24" s="17" t="str">
        <f>IF(Entradas[[#This Row],[Artículo (código)]]="","",VLOOKUP(Entradas[[#This Row],[Artículo (código)]],Existencias!A:D,4,FALSE))</f>
        <v>Azucar rubia 5 kg</v>
      </c>
      <c r="G24" s="17">
        <v>1</v>
      </c>
      <c r="H24" s="57">
        <f>VLOOKUP(Entradas[[#This Row],[Artículo (código)]],Existencias!A:F,6,FALSE)*Entradas[[#This Row],[Cantidad]]</f>
        <v>15.89</v>
      </c>
      <c r="I24" s="58">
        <f>Entradas[[#This Row],[Precio POR UNIDAD]]*Entradas[[#This Row],[Cantidad]]</f>
        <v>15.89</v>
      </c>
    </row>
    <row r="25" spans="1:9" x14ac:dyDescent="0.3">
      <c r="A25" s="17"/>
      <c r="B25" s="18">
        <v>46034</v>
      </c>
      <c r="C25" s="17">
        <v>4</v>
      </c>
      <c r="D25" s="17" t="str">
        <f>IF(Entradas[[#This Row],[Proveedor (código)]]="","",VLOOKUP(Entradas[[#This Row],[Proveedor (código)]],Proveedores[[#All],[Código]:[Nombre fiscal]],2,FALSE))</f>
        <v>Metro B.A</v>
      </c>
      <c r="E25" s="14" t="s">
        <v>1375</v>
      </c>
      <c r="F25" s="17" t="str">
        <f>IF(Entradas[[#This Row],[Artículo (código)]]="","",VLOOKUP(Entradas[[#This Row],[Artículo (código)]],Existencias!A:D,4,FALSE))</f>
        <v>Cabrito en trozo</v>
      </c>
      <c r="G25" s="17">
        <v>3</v>
      </c>
      <c r="H25" s="57">
        <f>VLOOKUP(Entradas[[#This Row],[Artículo (código)]],Existencias!A:F,6,FALSE)*Entradas[[#This Row],[Cantidad]]</f>
        <v>101.69999999999999</v>
      </c>
      <c r="I25" s="58">
        <f>Entradas[[#This Row],[Precio POR UNIDAD]]*Entradas[[#This Row],[Cantidad]]</f>
        <v>305.09999999999997</v>
      </c>
    </row>
    <row r="26" spans="1:9" x14ac:dyDescent="0.3">
      <c r="A26" s="17"/>
      <c r="B26" s="18">
        <v>46034</v>
      </c>
      <c r="C26" s="17">
        <v>5</v>
      </c>
      <c r="D26" s="17" t="str">
        <f>IF(Entradas[[#This Row],[Proveedor (código)]]="","",VLOOKUP(Entradas[[#This Row],[Proveedor (código)]],Proveedores[[#All],[Código]:[Nombre fiscal]],2,FALSE))</f>
        <v>Almacen Banco de Alimentos</v>
      </c>
      <c r="E26" s="46" t="s">
        <v>781</v>
      </c>
      <c r="F26" s="17" t="str">
        <f>IF(Entradas[[#This Row],[Artículo (código)]]="","",VLOOKUP(Entradas[[#This Row],[Artículo (código)]],Existencias!A:D,4,FALSE))</f>
        <v>Guiso de cerdo</v>
      </c>
      <c r="G26" s="17">
        <v>2</v>
      </c>
      <c r="H26" s="57">
        <f>VLOOKUP(Entradas[[#This Row],[Artículo (código)]],Existencias!A:F,6,FALSE)*Entradas[[#This Row],[Cantidad]]</f>
        <v>0</v>
      </c>
      <c r="I26" s="58">
        <f>Entradas[[#This Row],[Precio POR UNIDAD]]*Entradas[[#This Row],[Cantidad]]</f>
        <v>0</v>
      </c>
    </row>
    <row r="27" spans="1:9" x14ac:dyDescent="0.3">
      <c r="A27" s="17"/>
      <c r="B27" s="18">
        <v>46034</v>
      </c>
      <c r="C27" s="17">
        <v>5</v>
      </c>
      <c r="D27" s="17" t="str">
        <f>IF(Entradas[[#This Row],[Proveedor (código)]]="","",VLOOKUP(Entradas[[#This Row],[Proveedor (código)]],Proveedores[[#All],[Código]:[Nombre fiscal]],2,FALSE))</f>
        <v>Almacen Banco de Alimentos</v>
      </c>
      <c r="E27" s="46" t="s">
        <v>783</v>
      </c>
      <c r="F27" s="17" t="str">
        <f>IF(Entradas[[#This Row],[Artículo (código)]]="","",VLOOKUP(Entradas[[#This Row],[Artículo (código)]],Existencias!A:D,4,FALSE))</f>
        <v>Toma hoock de cerdo</v>
      </c>
      <c r="G27" s="17">
        <v>2</v>
      </c>
      <c r="H27" s="57">
        <f>VLOOKUP(Entradas[[#This Row],[Artículo (código)]],Existencias!A:F,6,FALSE)*Entradas[[#This Row],[Cantidad]]</f>
        <v>0</v>
      </c>
      <c r="I27" s="58">
        <f>Entradas[[#This Row],[Precio POR UNIDAD]]*Entradas[[#This Row],[Cantidad]]</f>
        <v>0</v>
      </c>
    </row>
    <row r="28" spans="1:9" x14ac:dyDescent="0.3">
      <c r="A28" s="17"/>
      <c r="B28" s="18">
        <v>46034</v>
      </c>
      <c r="C28" s="17">
        <v>5</v>
      </c>
      <c r="D28" s="17" t="str">
        <f>IF(Entradas[[#This Row],[Proveedor (código)]]="","",VLOOKUP(Entradas[[#This Row],[Proveedor (código)]],Proveedores[[#All],[Código]:[Nombre fiscal]],2,FALSE))</f>
        <v>Almacen Banco de Alimentos</v>
      </c>
      <c r="E28" s="46" t="s">
        <v>1139</v>
      </c>
      <c r="F28" s="17" t="str">
        <f>IF(Entradas[[#This Row],[Artículo (código)]]="","",VLOOKUP(Entradas[[#This Row],[Artículo (código)]],Existencias!A:D,4,FALSE))</f>
        <v>Recojedor mango</v>
      </c>
      <c r="G28" s="17">
        <v>1</v>
      </c>
      <c r="H28" s="57">
        <f>VLOOKUP(Entradas[[#This Row],[Artículo (código)]],Existencias!A:F,6,FALSE)*Entradas[[#This Row],[Cantidad]]</f>
        <v>1</v>
      </c>
      <c r="I28" s="58">
        <f>Entradas[[#This Row],[Precio POR UNIDAD]]*Entradas[[#This Row],[Cantidad]]</f>
        <v>1</v>
      </c>
    </row>
    <row r="29" spans="1:9" x14ac:dyDescent="0.3">
      <c r="A29" s="17"/>
      <c r="B29" s="18">
        <v>46034</v>
      </c>
      <c r="C29" s="17">
        <v>5</v>
      </c>
      <c r="D29" s="17" t="str">
        <f>IF(Entradas[[#This Row],[Proveedor (código)]]="","",VLOOKUP(Entradas[[#This Row],[Proveedor (código)]],Proveedores[[#All],[Código]:[Nombre fiscal]],2,FALSE))</f>
        <v>Almacen Banco de Alimentos</v>
      </c>
      <c r="E29" s="46" t="s">
        <v>724</v>
      </c>
      <c r="F29" s="17" t="str">
        <f>IF(Entradas[[#This Row],[Artículo (código)]]="","",VLOOKUP(Entradas[[#This Row],[Artículo (código)]],Existencias!A:D,4,FALSE))</f>
        <v>Pollo pechuga especial</v>
      </c>
      <c r="G29" s="17">
        <v>4.335</v>
      </c>
      <c r="H29" s="57">
        <f>VLOOKUP(Entradas[[#This Row],[Artículo (código)]],Existencias!A:F,6,FALSE)*Entradas[[#This Row],[Cantidad]]</f>
        <v>0</v>
      </c>
      <c r="I29" s="58">
        <f>Entradas[[#This Row],[Precio POR UNIDAD]]*Entradas[[#This Row],[Cantidad]]</f>
        <v>0</v>
      </c>
    </row>
    <row r="30" spans="1:9" x14ac:dyDescent="0.3">
      <c r="A30" s="17"/>
      <c r="B30" s="18">
        <v>46034</v>
      </c>
      <c r="C30" s="17">
        <v>5</v>
      </c>
      <c r="D30" s="17" t="str">
        <f>IF(Entradas[[#This Row],[Proveedor (código)]]="","",VLOOKUP(Entradas[[#This Row],[Proveedor (código)]],Proveedores[[#All],[Código]:[Nombre fiscal]],2,FALSE))</f>
        <v>Almacen Banco de Alimentos</v>
      </c>
      <c r="E30" s="46" t="s">
        <v>725</v>
      </c>
      <c r="F30" s="17" t="str">
        <f>IF(Entradas[[#This Row],[Artículo (código)]]="","",VLOOKUP(Entradas[[#This Row],[Artículo (código)]],Existencias!A:D,4,FALSE))</f>
        <v>Pollo pechuga bandeja</v>
      </c>
      <c r="G30" s="17">
        <v>0.81</v>
      </c>
      <c r="H30" s="57">
        <f>VLOOKUP(Entradas[[#This Row],[Artículo (código)]],Existencias!A:F,6,FALSE)*Entradas[[#This Row],[Cantidad]]</f>
        <v>0</v>
      </c>
      <c r="I30" s="58">
        <f>Entradas[[#This Row],[Precio POR UNIDAD]]*Entradas[[#This Row],[Cantidad]]</f>
        <v>0</v>
      </c>
    </row>
    <row r="31" spans="1:9" x14ac:dyDescent="0.3">
      <c r="A31" s="17"/>
      <c r="B31" s="18">
        <v>46034</v>
      </c>
      <c r="C31" s="17">
        <v>5</v>
      </c>
      <c r="D31" s="17" t="str">
        <f>IF(Entradas[[#This Row],[Proveedor (código)]]="","",VLOOKUP(Entradas[[#This Row],[Proveedor (código)]],Proveedores[[#All],[Código]:[Nombre fiscal]],2,FALSE))</f>
        <v>Almacen Banco de Alimentos</v>
      </c>
      <c r="E31" s="46" t="s">
        <v>746</v>
      </c>
      <c r="F31" s="17" t="str">
        <f>IF(Entradas[[#This Row],[Artículo (código)]]="","",VLOOKUP(Entradas[[#This Row],[Artículo (código)]],Existencias!A:D,4,FALSE))</f>
        <v>Piernas de pollo kg</v>
      </c>
      <c r="G31" s="17">
        <v>2.25</v>
      </c>
      <c r="H31" s="57">
        <f>VLOOKUP(Entradas[[#This Row],[Artículo (código)]],Existencias!A:F,6,FALSE)*Entradas[[#This Row],[Cantidad]]</f>
        <v>27.27</v>
      </c>
      <c r="I31" s="58">
        <f>Entradas[[#This Row],[Precio POR UNIDAD]]*Entradas[[#This Row],[Cantidad]]</f>
        <v>61.357500000000002</v>
      </c>
    </row>
    <row r="32" spans="1:9" x14ac:dyDescent="0.3">
      <c r="A32" s="17"/>
      <c r="B32" s="18">
        <v>46034</v>
      </c>
      <c r="C32" s="17">
        <v>5</v>
      </c>
      <c r="D32" s="17" t="str">
        <f>IF(Entradas[[#This Row],[Proveedor (código)]]="","",VLOOKUP(Entradas[[#This Row],[Proveedor (código)]],Proveedores[[#All],[Código]:[Nombre fiscal]],2,FALSE))</f>
        <v>Almacen Banco de Alimentos</v>
      </c>
      <c r="E32" s="46" t="s">
        <v>1319</v>
      </c>
      <c r="F32" s="17" t="str">
        <f>IF(Entradas[[#This Row],[Artículo (código)]]="","",VLOOKUP(Entradas[[#This Row],[Artículo (código)]],Existencias!A:D,4,FALSE))</f>
        <v>Entraña</v>
      </c>
      <c r="G32" s="17">
        <v>3.74</v>
      </c>
      <c r="H32" s="57">
        <f>VLOOKUP(Entradas[[#This Row],[Artículo (código)]],Existencias!A:F,6,FALSE)*Entradas[[#This Row],[Cantidad]]</f>
        <v>0</v>
      </c>
      <c r="I32" s="58">
        <f>Entradas[[#This Row],[Precio POR UNIDAD]]*Entradas[[#This Row],[Cantidad]]</f>
        <v>0</v>
      </c>
    </row>
    <row r="33" spans="1:9" x14ac:dyDescent="0.3">
      <c r="A33" s="17"/>
      <c r="B33" s="18">
        <v>46034</v>
      </c>
      <c r="C33" s="17">
        <v>5</v>
      </c>
      <c r="D33" s="17" t="str">
        <f>IF(Entradas[[#This Row],[Proveedor (código)]]="","",VLOOKUP(Entradas[[#This Row],[Proveedor (código)]],Proveedores[[#All],[Código]:[Nombre fiscal]],2,FALSE))</f>
        <v>Almacen Banco de Alimentos</v>
      </c>
      <c r="E33" s="46" t="s">
        <v>746</v>
      </c>
      <c r="F33" s="17" t="str">
        <f>IF(Entradas[[#This Row],[Artículo (código)]]="","",VLOOKUP(Entradas[[#This Row],[Artículo (código)]],Existencias!A:D,4,FALSE))</f>
        <v>Piernas de pollo kg</v>
      </c>
      <c r="G33" s="17">
        <v>0.82499999999999996</v>
      </c>
      <c r="H33" s="57">
        <f>VLOOKUP(Entradas[[#This Row],[Artículo (código)]],Existencias!A:F,6,FALSE)*Entradas[[#This Row],[Cantidad]]</f>
        <v>9.9989999999999988</v>
      </c>
      <c r="I33" s="58">
        <f>Entradas[[#This Row],[Precio POR UNIDAD]]*Entradas[[#This Row],[Cantidad]]</f>
        <v>8.2491749999999993</v>
      </c>
    </row>
    <row r="34" spans="1:9" x14ac:dyDescent="0.3">
      <c r="A34" s="17"/>
      <c r="B34" s="18">
        <v>46034</v>
      </c>
      <c r="C34" s="17">
        <v>5</v>
      </c>
      <c r="D34" s="17" t="str">
        <f>IF(Entradas[[#This Row],[Proveedor (código)]]="","",VLOOKUP(Entradas[[#This Row],[Proveedor (código)]],Proveedores[[#All],[Código]:[Nombre fiscal]],2,FALSE))</f>
        <v>Almacen Banco de Alimentos</v>
      </c>
      <c r="E34" s="46" t="s">
        <v>728</v>
      </c>
      <c r="F34" s="17" t="str">
        <f>IF(Entradas[[#This Row],[Artículo (código)]]="","",VLOOKUP(Entradas[[#This Row],[Artículo (código)]],Existencias!A:D,4,FALSE))</f>
        <v>Pollo ligth</v>
      </c>
      <c r="G34" s="17">
        <v>6.2949999999999999</v>
      </c>
      <c r="H34" s="57">
        <f>VLOOKUP(Entradas[[#This Row],[Artículo (código)]],Existencias!A:F,6,FALSE)*Entradas[[#This Row],[Cantidad]]</f>
        <v>0</v>
      </c>
      <c r="I34" s="58">
        <f>Entradas[[#This Row],[Precio POR UNIDAD]]*Entradas[[#This Row],[Cantidad]]</f>
        <v>0</v>
      </c>
    </row>
    <row r="35" spans="1:9" x14ac:dyDescent="0.3">
      <c r="A35" s="17"/>
      <c r="B35" s="18">
        <v>46034</v>
      </c>
      <c r="C35" s="17">
        <v>5</v>
      </c>
      <c r="D35" s="17" t="str">
        <f>IF(Entradas[[#This Row],[Proveedor (código)]]="","",VLOOKUP(Entradas[[#This Row],[Proveedor (código)]],Proveedores[[#All],[Código]:[Nombre fiscal]],2,FALSE))</f>
        <v>Almacen Banco de Alimentos</v>
      </c>
      <c r="E35" s="46" t="s">
        <v>916</v>
      </c>
      <c r="F35" s="17" t="str">
        <f>IF(Entradas[[#This Row],[Artículo (código)]]="","",VLOOKUP(Entradas[[#This Row],[Artículo (código)]],Existencias!A:D,4,FALSE))</f>
        <v>Fideos largos 500 gr</v>
      </c>
      <c r="G35" s="17">
        <v>1</v>
      </c>
      <c r="H35" s="57">
        <f>VLOOKUP(Entradas[[#This Row],[Artículo (código)]],Existencias!A:F,6,FALSE)*Entradas[[#This Row],[Cantidad]]</f>
        <v>2.71</v>
      </c>
      <c r="I35" s="58">
        <f>Entradas[[#This Row],[Precio POR UNIDAD]]*Entradas[[#This Row],[Cantidad]]</f>
        <v>2.71</v>
      </c>
    </row>
    <row r="36" spans="1:9" x14ac:dyDescent="0.3">
      <c r="A36" s="17"/>
      <c r="B36" s="18">
        <v>46034</v>
      </c>
      <c r="C36" s="17">
        <v>5</v>
      </c>
      <c r="D36" s="17" t="str">
        <f>IF(Entradas[[#This Row],[Proveedor (código)]]="","",VLOOKUP(Entradas[[#This Row],[Proveedor (código)]],Proveedores[[#All],[Código]:[Nombre fiscal]],2,FALSE))</f>
        <v>Almacen Banco de Alimentos</v>
      </c>
      <c r="E36" s="46" t="s">
        <v>1246</v>
      </c>
      <c r="F36" s="17" t="str">
        <f>IF(Entradas[[#This Row],[Artículo (código)]]="","",VLOOKUP(Entradas[[#This Row],[Artículo (código)]],Existencias!A:D,4,FALSE))</f>
        <v>Semola 200 gr</v>
      </c>
      <c r="G36" s="17">
        <v>1</v>
      </c>
      <c r="H36" s="57">
        <f>VLOOKUP(Entradas[[#This Row],[Artículo (código)]],Existencias!A:F,6,FALSE)*Entradas[[#This Row],[Cantidad]]</f>
        <v>0</v>
      </c>
      <c r="I36" s="58">
        <f>Entradas[[#This Row],[Precio POR UNIDAD]]*Entradas[[#This Row],[Cantidad]]</f>
        <v>0</v>
      </c>
    </row>
    <row r="37" spans="1:9" x14ac:dyDescent="0.3">
      <c r="A37" s="17"/>
      <c r="B37" s="18">
        <v>46034</v>
      </c>
      <c r="C37" s="17">
        <v>5</v>
      </c>
      <c r="D37" s="17" t="str">
        <f>IF(Entradas[[#This Row],[Proveedor (código)]]="","",VLOOKUP(Entradas[[#This Row],[Proveedor (código)]],Proveedores[[#All],[Código]:[Nombre fiscal]],2,FALSE))</f>
        <v>Almacen Banco de Alimentos</v>
      </c>
      <c r="E37" s="46" t="s">
        <v>1047</v>
      </c>
      <c r="F37" s="17" t="str">
        <f>IF(Entradas[[#This Row],[Artículo (código)]]="","",VLOOKUP(Entradas[[#This Row],[Artículo (código)]],Existencias!A:D,4,FALSE))</f>
        <v>Leche condensada 387 g lata</v>
      </c>
      <c r="G37" s="17">
        <v>1</v>
      </c>
      <c r="H37" s="57">
        <f>VLOOKUP(Entradas[[#This Row],[Artículo (código)]],Existencias!A:F,6,FALSE)*Entradas[[#This Row],[Cantidad]]</f>
        <v>0</v>
      </c>
      <c r="I37" s="58">
        <f>Entradas[[#This Row],[Precio POR UNIDAD]]*Entradas[[#This Row],[Cantidad]]</f>
        <v>0</v>
      </c>
    </row>
    <row r="38" spans="1:9" x14ac:dyDescent="0.3">
      <c r="A38" s="17"/>
      <c r="B38" s="18">
        <v>46034</v>
      </c>
      <c r="C38" s="17">
        <v>5</v>
      </c>
      <c r="D38" s="17" t="str">
        <f>IF(Entradas[[#This Row],[Proveedor (código)]]="","",VLOOKUP(Entradas[[#This Row],[Proveedor (código)]],Proveedores[[#All],[Código]:[Nombre fiscal]],2,FALSE))</f>
        <v>Almacen Banco de Alimentos</v>
      </c>
      <c r="E38" s="46" t="s">
        <v>917</v>
      </c>
      <c r="F38" s="17" t="str">
        <f>IF(Entradas[[#This Row],[Artículo (código)]]="","",VLOOKUP(Entradas[[#This Row],[Artículo (código)]],Existencias!A:D,4,FALSE))</f>
        <v>Fideos largos 900 gr</v>
      </c>
      <c r="G38" s="17">
        <v>1</v>
      </c>
      <c r="H38" s="57">
        <f>VLOOKUP(Entradas[[#This Row],[Artículo (código)]],Existencias!A:F,6,FALSE)*Entradas[[#This Row],[Cantidad]]</f>
        <v>4.75</v>
      </c>
      <c r="I38" s="58">
        <f>Entradas[[#This Row],[Precio POR UNIDAD]]*Entradas[[#This Row],[Cantidad]]</f>
        <v>4.75</v>
      </c>
    </row>
    <row r="39" spans="1:9" x14ac:dyDescent="0.3">
      <c r="A39" s="17"/>
      <c r="B39" s="18">
        <v>46034</v>
      </c>
      <c r="C39" s="17">
        <v>5</v>
      </c>
      <c r="D39" s="17" t="str">
        <f>IF(Entradas[[#This Row],[Proveedor (código)]]="","",VLOOKUP(Entradas[[#This Row],[Proveedor (código)]],Proveedores[[#All],[Código]:[Nombre fiscal]],2,FALSE))</f>
        <v>Almacen Banco de Alimentos</v>
      </c>
      <c r="E39" s="46" t="s">
        <v>919</v>
      </c>
      <c r="F39" s="17" t="str">
        <f>IF(Entradas[[#This Row],[Artículo (código)]]="","",VLOOKUP(Entradas[[#This Row],[Artículo (código)]],Existencias!A:D,4,FALSE))</f>
        <v>Fideos cortos 250 gr</v>
      </c>
      <c r="G39" s="17">
        <v>1</v>
      </c>
      <c r="H39" s="57">
        <f>VLOOKUP(Entradas[[#This Row],[Artículo (código)]],Existencias!A:F,6,FALSE)*Entradas[[#This Row],[Cantidad]]</f>
        <v>2.58</v>
      </c>
      <c r="I39" s="58">
        <f>Entradas[[#This Row],[Precio POR UNIDAD]]*Entradas[[#This Row],[Cantidad]]</f>
        <v>2.58</v>
      </c>
    </row>
    <row r="40" spans="1:9" x14ac:dyDescent="0.3">
      <c r="A40" s="17"/>
      <c r="B40" s="18">
        <v>46034</v>
      </c>
      <c r="C40" s="17">
        <v>5</v>
      </c>
      <c r="D40" s="17" t="str">
        <f>IF(Entradas[[#This Row],[Proveedor (código)]]="","",VLOOKUP(Entradas[[#This Row],[Proveedor (código)]],Proveedores[[#All],[Código]:[Nombre fiscal]],2,FALSE))</f>
        <v>Almacen Banco de Alimentos</v>
      </c>
      <c r="E40" s="46" t="s">
        <v>920</v>
      </c>
      <c r="F40" s="17" t="str">
        <f>IF(Entradas[[#This Row],[Artículo (código)]]="","",VLOOKUP(Entradas[[#This Row],[Artículo (código)]],Existencias!A:D,4,FALSE))</f>
        <v>Fideos cortos 500 gr</v>
      </c>
      <c r="G40" s="17">
        <v>1</v>
      </c>
      <c r="H40" s="57">
        <f>VLOOKUP(Entradas[[#This Row],[Artículo (código)]],Existencias!A:F,6,FALSE)*Entradas[[#This Row],[Cantidad]]</f>
        <v>0</v>
      </c>
      <c r="I40" s="58">
        <f>Entradas[[#This Row],[Precio POR UNIDAD]]*Entradas[[#This Row],[Cantidad]]</f>
        <v>0</v>
      </c>
    </row>
    <row r="41" spans="1:9" x14ac:dyDescent="0.3">
      <c r="A41" s="17"/>
      <c r="B41" s="18">
        <v>46034</v>
      </c>
      <c r="C41" s="17">
        <v>5</v>
      </c>
      <c r="D41" s="17" t="str">
        <f>IF(Entradas[[#This Row],[Proveedor (código)]]="","",VLOOKUP(Entradas[[#This Row],[Proveedor (código)]],Proveedores[[#All],[Código]:[Nombre fiscal]],2,FALSE))</f>
        <v>Almacen Banco de Alimentos</v>
      </c>
      <c r="E41" s="46" t="s">
        <v>755</v>
      </c>
      <c r="F41" s="17" t="str">
        <f>IF(Entradas[[#This Row],[Artículo (código)]]="","",VLOOKUP(Entradas[[#This Row],[Artículo (código)]],Existencias!A:D,4,FALSE))</f>
        <v>Azucar rubia 5 kg</v>
      </c>
      <c r="G41" s="17">
        <v>1</v>
      </c>
      <c r="H41" s="57">
        <f>VLOOKUP(Entradas[[#This Row],[Artículo (código)]],Existencias!A:F,6,FALSE)*Entradas[[#This Row],[Cantidad]]</f>
        <v>15.89</v>
      </c>
      <c r="I41" s="58">
        <f>Entradas[[#This Row],[Precio POR UNIDAD]]*Entradas[[#This Row],[Cantidad]]</f>
        <v>15.89</v>
      </c>
    </row>
    <row r="42" spans="1:9" x14ac:dyDescent="0.3">
      <c r="A42" s="17"/>
      <c r="B42" s="18">
        <v>46034</v>
      </c>
      <c r="C42" s="17">
        <v>5</v>
      </c>
      <c r="D42" s="17" t="str">
        <f>IF(Entradas[[#This Row],[Proveedor (código)]]="","",VLOOKUP(Entradas[[#This Row],[Proveedor (código)]],Proveedores[[#All],[Código]:[Nombre fiscal]],2,FALSE))</f>
        <v>Almacen Banco de Alimentos</v>
      </c>
      <c r="E42" s="46" t="s">
        <v>917</v>
      </c>
      <c r="F42" s="17" t="str">
        <f>IF(Entradas[[#This Row],[Artículo (código)]]="","",VLOOKUP(Entradas[[#This Row],[Artículo (código)]],Existencias!A:D,4,FALSE))</f>
        <v>Fideos largos 900 gr</v>
      </c>
      <c r="G42" s="17">
        <v>1</v>
      </c>
      <c r="H42" s="57">
        <f>VLOOKUP(Entradas[[#This Row],[Artículo (código)]],Existencias!A:F,6,FALSE)*Entradas[[#This Row],[Cantidad]]</f>
        <v>4.75</v>
      </c>
      <c r="I42" s="58">
        <f>Entradas[[#This Row],[Precio POR UNIDAD]]*Entradas[[#This Row],[Cantidad]]</f>
        <v>4.75</v>
      </c>
    </row>
    <row r="43" spans="1:9" x14ac:dyDescent="0.3">
      <c r="A43" s="17"/>
      <c r="B43" s="18">
        <v>46034</v>
      </c>
      <c r="C43" s="17">
        <v>5</v>
      </c>
      <c r="D43" s="17" t="str">
        <f>IF(Entradas[[#This Row],[Proveedor (código)]]="","",VLOOKUP(Entradas[[#This Row],[Proveedor (código)]],Proveedores[[#All],[Código]:[Nombre fiscal]],2,FALSE))</f>
        <v>Almacen Banco de Alimentos</v>
      </c>
      <c r="E43" s="46" t="s">
        <v>923</v>
      </c>
      <c r="F43" s="17" t="e">
        <f>IF(Entradas[[#This Row],[Artículo (código)]]="","",VLOOKUP(Entradas[[#This Row],[Artículo (código)]],Existencias!A:D,4,FALSE))</f>
        <v>#N/A</v>
      </c>
      <c r="G43" s="17">
        <v>1</v>
      </c>
      <c r="H43" s="57" t="e">
        <f>VLOOKUP(Entradas[[#This Row],[Artículo (código)]],Existencias!A:F,6,FALSE)*Entradas[[#This Row],[Cantidad]]</f>
        <v>#N/A</v>
      </c>
      <c r="I43" s="58" t="e">
        <f>Entradas[[#This Row],[Precio POR UNIDAD]]*Entradas[[#This Row],[Cantidad]]</f>
        <v>#N/A</v>
      </c>
    </row>
    <row r="44" spans="1:9" x14ac:dyDescent="0.3">
      <c r="A44" s="17"/>
      <c r="B44" s="18">
        <v>46034</v>
      </c>
      <c r="C44" s="17">
        <v>5</v>
      </c>
      <c r="D44" s="17" t="str">
        <f>IF(Entradas[[#This Row],[Proveedor (código)]]="","",VLOOKUP(Entradas[[#This Row],[Proveedor (código)]],Proveedores[[#All],[Código]:[Nombre fiscal]],2,FALSE))</f>
        <v>Almacen Banco de Alimentos</v>
      </c>
      <c r="E44" s="46" t="s">
        <v>1175</v>
      </c>
      <c r="F44" s="17" t="str">
        <f>IF(Entradas[[#This Row],[Artículo (código)]]="","",VLOOKUP(Entradas[[#This Row],[Artículo (código)]],Existencias!A:D,4,FALSE))</f>
        <v>Frejol Canario 500 gr</v>
      </c>
      <c r="G44" s="17">
        <v>1</v>
      </c>
      <c r="H44" s="57">
        <f>VLOOKUP(Entradas[[#This Row],[Artículo (código)]],Existencias!A:F,6,FALSE)*Entradas[[#This Row],[Cantidad]]</f>
        <v>7.9</v>
      </c>
      <c r="I44" s="58">
        <f>Entradas[[#This Row],[Precio POR UNIDAD]]*Entradas[[#This Row],[Cantidad]]</f>
        <v>7.9</v>
      </c>
    </row>
    <row r="45" spans="1:9" x14ac:dyDescent="0.3">
      <c r="A45" s="17"/>
      <c r="B45" s="18">
        <v>46034</v>
      </c>
      <c r="C45" s="17">
        <v>5</v>
      </c>
      <c r="D45" s="17" t="str">
        <f>IF(Entradas[[#This Row],[Proveedor (código)]]="","",VLOOKUP(Entradas[[#This Row],[Proveedor (código)]],Proveedores[[#All],[Código]:[Nombre fiscal]],2,FALSE))</f>
        <v>Almacen Banco de Alimentos</v>
      </c>
      <c r="E45" s="46" t="s">
        <v>1088</v>
      </c>
      <c r="F45" s="17" t="str">
        <f>IF(Entradas[[#This Row],[Artículo (código)]]="","",VLOOKUP(Entradas[[#This Row],[Artículo (código)]],Existencias!A:D,4,FALSE))</f>
        <v>Lejía líquida 2 lt</v>
      </c>
      <c r="G45" s="17">
        <v>1</v>
      </c>
      <c r="H45" s="57">
        <f>VLOOKUP(Entradas[[#This Row],[Artículo (código)]],Existencias!A:F,6,FALSE)*Entradas[[#This Row],[Cantidad]]</f>
        <v>0</v>
      </c>
      <c r="I45" s="58">
        <f>Entradas[[#This Row],[Precio POR UNIDAD]]*Entradas[[#This Row],[Cantidad]]</f>
        <v>0</v>
      </c>
    </row>
    <row r="46" spans="1:9" x14ac:dyDescent="0.3">
      <c r="A46" s="17"/>
      <c r="B46" s="18">
        <v>46036</v>
      </c>
      <c r="C46" s="17">
        <v>8</v>
      </c>
      <c r="D46" s="17" t="str">
        <f>IF(Entradas[[#This Row],[Proveedor (código)]]="","",VLOOKUP(Entradas[[#This Row],[Proveedor (código)]],Proveedores[[#All],[Código]:[Nombre fiscal]],2,FALSE))</f>
        <v>MOR</v>
      </c>
      <c r="E46" s="46" t="s">
        <v>989</v>
      </c>
      <c r="F46" s="17" t="str">
        <f>IF(Entradas[[#This Row],[Artículo (código)]]="","",VLOOKUP(Entradas[[#This Row],[Artículo (código)]],Existencias!A:D,4,FALSE))</f>
        <v>Huevo pardo</v>
      </c>
      <c r="G46" s="17">
        <v>31</v>
      </c>
      <c r="H46" s="57">
        <f>VLOOKUP(Entradas[[#This Row],[Artículo (código)]],Existencias!A:F,6,FALSE)*Entradas[[#This Row],[Cantidad]]</f>
        <v>0</v>
      </c>
      <c r="I46" s="58">
        <f>Entradas[[#This Row],[Precio POR UNIDAD]]*Entradas[[#This Row],[Cantidad]]</f>
        <v>0</v>
      </c>
    </row>
    <row r="47" spans="1:9" x14ac:dyDescent="0.3">
      <c r="A47" s="17"/>
      <c r="B47" s="18">
        <v>46036</v>
      </c>
      <c r="C47" s="17">
        <v>4</v>
      </c>
      <c r="D47" s="17" t="str">
        <f>IF(Entradas[[#This Row],[Proveedor (código)]]="","",VLOOKUP(Entradas[[#This Row],[Proveedor (código)]],Proveedores[[#All],[Código]:[Nombre fiscal]],2,FALSE))</f>
        <v>Metro B.A</v>
      </c>
      <c r="E47" s="29" t="s">
        <v>1284</v>
      </c>
      <c r="F47" s="17" t="str">
        <f>IF(Entradas[[#This Row],[Artículo (código)]]="","",VLOOKUP(Entradas[[#This Row],[Artículo (código)]],Existencias!A:D,4,FALSE))</f>
        <v>Paneton</v>
      </c>
      <c r="G47" s="17">
        <v>6</v>
      </c>
      <c r="H47" s="57">
        <f>VLOOKUP(Entradas[[#This Row],[Artículo (código)]],Existencias!A:F,6,FALSE)*Entradas[[#This Row],[Cantidad]]</f>
        <v>0</v>
      </c>
      <c r="I47" s="58">
        <f>Entradas[[#This Row],[Precio POR UNIDAD]]*Entradas[[#This Row],[Cantidad]]</f>
        <v>0</v>
      </c>
    </row>
    <row r="48" spans="1:9" x14ac:dyDescent="0.3">
      <c r="A48" s="17"/>
      <c r="B48" s="18">
        <v>46036</v>
      </c>
      <c r="C48" s="17">
        <v>4</v>
      </c>
      <c r="D48" s="17" t="str">
        <f>IF(Entradas[[#This Row],[Proveedor (código)]]="","",VLOOKUP(Entradas[[#This Row],[Proveedor (código)]],Proveedores[[#All],[Código]:[Nombre fiscal]],2,FALSE))</f>
        <v>Metro B.A</v>
      </c>
      <c r="E48" s="47" t="s">
        <v>799</v>
      </c>
      <c r="F48" s="17" t="str">
        <f>IF(Entradas[[#This Row],[Artículo (código)]]="","",VLOOKUP(Entradas[[#This Row],[Artículo (código)]],Existencias!A:D,4,FALSE))</f>
        <v>Arroz 1 kg</v>
      </c>
      <c r="G48" s="17">
        <v>2</v>
      </c>
      <c r="H48" s="57">
        <f>VLOOKUP(Entradas[[#This Row],[Artículo (código)]],Existencias!A:F,6,FALSE)*Entradas[[#This Row],[Cantidad]]</f>
        <v>9.4600000000000009</v>
      </c>
      <c r="I48" s="58">
        <f>Entradas[[#This Row],[Precio POR UNIDAD]]*Entradas[[#This Row],[Cantidad]]</f>
        <v>18.920000000000002</v>
      </c>
    </row>
    <row r="49" spans="1:9" x14ac:dyDescent="0.3">
      <c r="A49" s="17"/>
      <c r="B49" s="18">
        <v>46036</v>
      </c>
      <c r="C49" s="17">
        <v>4</v>
      </c>
      <c r="D49" s="17" t="str">
        <f>IF(Entradas[[#This Row],[Proveedor (código)]]="","",VLOOKUP(Entradas[[#This Row],[Proveedor (código)]],Proveedores[[#All],[Código]:[Nombre fiscal]],2,FALSE))</f>
        <v>Metro B.A</v>
      </c>
      <c r="E49" s="47" t="s">
        <v>1006</v>
      </c>
      <c r="F49" s="17" t="str">
        <f>IF(Entradas[[#This Row],[Artículo (código)]]="","",VLOOKUP(Entradas[[#This Row],[Artículo (código)]],Existencias!A:D,4,FALSE))</f>
        <v>Flor Jamaica 25 und</v>
      </c>
      <c r="G49" s="17">
        <v>1</v>
      </c>
      <c r="H49" s="57">
        <f>VLOOKUP(Entradas[[#This Row],[Artículo (código)]],Existencias!A:F,6,FALSE)*Entradas[[#This Row],[Cantidad]]</f>
        <v>8.01</v>
      </c>
      <c r="I49" s="58">
        <f>Entradas[[#This Row],[Precio POR UNIDAD]]*Entradas[[#This Row],[Cantidad]]</f>
        <v>8.01</v>
      </c>
    </row>
    <row r="50" spans="1:9" x14ac:dyDescent="0.3">
      <c r="A50" s="17"/>
      <c r="B50" s="18">
        <v>46036</v>
      </c>
      <c r="C50" s="17">
        <v>4</v>
      </c>
      <c r="D50" s="17" t="str">
        <f>IF(Entradas[[#This Row],[Proveedor (código)]]="","",VLOOKUP(Entradas[[#This Row],[Proveedor (código)]],Proveedores[[#All],[Código]:[Nombre fiscal]],2,FALSE))</f>
        <v>Metro B.A</v>
      </c>
      <c r="E50" s="47" t="s">
        <v>1226</v>
      </c>
      <c r="F50" s="17" t="str">
        <f>IF(Entradas[[#This Row],[Artículo (código)]]="","",VLOOKUP(Entradas[[#This Row],[Artículo (código)]],Existencias!A:D,4,FALSE))</f>
        <v>Quinua 500 gr</v>
      </c>
      <c r="G50" s="17">
        <v>1</v>
      </c>
      <c r="H50" s="57">
        <f>VLOOKUP(Entradas[[#This Row],[Artículo (código)]],Existencias!A:F,6,FALSE)*Entradas[[#This Row],[Cantidad]]</f>
        <v>8.2100000000000009</v>
      </c>
      <c r="I50" s="58">
        <f>Entradas[[#This Row],[Precio POR UNIDAD]]*Entradas[[#This Row],[Cantidad]]</f>
        <v>8.2100000000000009</v>
      </c>
    </row>
    <row r="51" spans="1:9" x14ac:dyDescent="0.3">
      <c r="A51" s="17"/>
      <c r="B51" s="18">
        <v>46036</v>
      </c>
      <c r="C51" s="17">
        <v>4</v>
      </c>
      <c r="D51" s="17" t="str">
        <f>IF(Entradas[[#This Row],[Proveedor (código)]]="","",VLOOKUP(Entradas[[#This Row],[Proveedor (código)]],Proveedores[[#All],[Código]:[Nombre fiscal]],2,FALSE))</f>
        <v>Metro B.A</v>
      </c>
      <c r="E51" s="47" t="s">
        <v>750</v>
      </c>
      <c r="F51" s="17" t="str">
        <f>IF(Entradas[[#This Row],[Artículo (código)]]="","",VLOOKUP(Entradas[[#This Row],[Artículo (código)]],Existencias!A:D,4,FALSE))</f>
        <v>Azucar blanca 2 kg</v>
      </c>
      <c r="G51" s="17">
        <v>2</v>
      </c>
      <c r="H51" s="57">
        <f>VLOOKUP(Entradas[[#This Row],[Artículo (código)]],Existencias!A:F,6,FALSE)*Entradas[[#This Row],[Cantidad]]</f>
        <v>14.72</v>
      </c>
      <c r="I51" s="58">
        <f>Entradas[[#This Row],[Precio POR UNIDAD]]*Entradas[[#This Row],[Cantidad]]</f>
        <v>29.44</v>
      </c>
    </row>
    <row r="52" spans="1:9" x14ac:dyDescent="0.3">
      <c r="A52" s="17"/>
      <c r="B52" s="18">
        <v>46038</v>
      </c>
      <c r="C52" s="17">
        <v>2</v>
      </c>
      <c r="D52" s="17" t="str">
        <f>IF(Entradas[[#This Row],[Proveedor (código)]]="","",VLOOKUP(Entradas[[#This Row],[Proveedor (código)]],Proveedores[[#All],[Código]:[Nombre fiscal]],2,FALSE))</f>
        <v>PLAZA VEA B.A</v>
      </c>
      <c r="E52" s="47" t="s">
        <v>799</v>
      </c>
      <c r="F52" s="17" t="str">
        <f>IF(Entradas[[#This Row],[Artículo (código)]]="","",VLOOKUP(Entradas[[#This Row],[Artículo (código)]],Existencias!A:D,4,FALSE))</f>
        <v>Arroz 1 kg</v>
      </c>
      <c r="G52" s="17">
        <v>3</v>
      </c>
      <c r="H52" s="57">
        <f>VLOOKUP(Entradas[[#This Row],[Artículo (código)]],Existencias!A:F,6,FALSE)*Entradas[[#This Row],[Cantidad]]</f>
        <v>14.190000000000001</v>
      </c>
      <c r="I52" s="58">
        <f>Entradas[[#This Row],[Precio POR UNIDAD]]*Entradas[[#This Row],[Cantidad]]</f>
        <v>42.570000000000007</v>
      </c>
    </row>
    <row r="53" spans="1:9" x14ac:dyDescent="0.3">
      <c r="A53" s="17"/>
      <c r="B53" s="18">
        <v>46038</v>
      </c>
      <c r="C53" s="17">
        <v>2</v>
      </c>
      <c r="D53" s="17" t="str">
        <f>IF(Entradas[[#This Row],[Proveedor (código)]]="","",VLOOKUP(Entradas[[#This Row],[Proveedor (código)]],Proveedores[[#All],[Código]:[Nombre fiscal]],2,FALSE))</f>
        <v>PLAZA VEA B.A</v>
      </c>
      <c r="E53" s="47" t="s">
        <v>800</v>
      </c>
      <c r="F53" s="17" t="str">
        <f>IF(Entradas[[#This Row],[Artículo (código)]]="","",VLOOKUP(Entradas[[#This Row],[Artículo (código)]],Existencias!A:D,4,FALSE))</f>
        <v xml:space="preserve">Arroz 5 kg </v>
      </c>
      <c r="G53" s="17">
        <v>1</v>
      </c>
      <c r="H53" s="57">
        <f>VLOOKUP(Entradas[[#This Row],[Artículo (código)]],Existencias!A:F,6,FALSE)*Entradas[[#This Row],[Cantidad]]</f>
        <v>24.95</v>
      </c>
      <c r="I53" s="58">
        <f>Entradas[[#This Row],[Precio POR UNIDAD]]*Entradas[[#This Row],[Cantidad]]</f>
        <v>24.95</v>
      </c>
    </row>
    <row r="54" spans="1:9" x14ac:dyDescent="0.3">
      <c r="A54" s="17"/>
      <c r="B54" s="18">
        <v>46038</v>
      </c>
      <c r="C54" s="17">
        <v>2</v>
      </c>
      <c r="D54" s="17" t="str">
        <f>IF(Entradas[[#This Row],[Proveedor (código)]]="","",VLOOKUP(Entradas[[#This Row],[Proveedor (código)]],Proveedores[[#All],[Código]:[Nombre fiscal]],2,FALSE))</f>
        <v>PLAZA VEA B.A</v>
      </c>
      <c r="E54" s="47" t="s">
        <v>693</v>
      </c>
      <c r="F54" s="17" t="str">
        <f>IF(Entradas[[#This Row],[Artículo (código)]]="","",VLOOKUP(Entradas[[#This Row],[Artículo (código)]],Existencias!A:D,4,FALSE))</f>
        <v>Arverja partida 500 gr</v>
      </c>
      <c r="G54" s="17">
        <v>1</v>
      </c>
      <c r="H54" s="57">
        <f>VLOOKUP(Entradas[[#This Row],[Artículo (código)]],Existencias!A:F,6,FALSE)*Entradas[[#This Row],[Cantidad]]</f>
        <v>3.9</v>
      </c>
      <c r="I54" s="58">
        <f>Entradas[[#This Row],[Precio POR UNIDAD]]*Entradas[[#This Row],[Cantidad]]</f>
        <v>3.9</v>
      </c>
    </row>
    <row r="55" spans="1:9" x14ac:dyDescent="0.3">
      <c r="A55" s="17"/>
      <c r="B55" s="18">
        <v>46038</v>
      </c>
      <c r="C55" s="17">
        <v>2</v>
      </c>
      <c r="D55" s="17" t="str">
        <f>IF(Entradas[[#This Row],[Proveedor (código)]]="","",VLOOKUP(Entradas[[#This Row],[Proveedor (código)]],Proveedores[[#All],[Código]:[Nombre fiscal]],2,FALSE))</f>
        <v>PLAZA VEA B.A</v>
      </c>
      <c r="E55" s="47" t="s">
        <v>896</v>
      </c>
      <c r="F55" s="17" t="str">
        <f>IF(Entradas[[#This Row],[Artículo (código)]]="","",VLOOKUP(Entradas[[#This Row],[Artículo (código)]],Existencias!A:D,4,FALSE))</f>
        <v>Duraznos en mitades 820 gr</v>
      </c>
      <c r="G55" s="17">
        <v>1</v>
      </c>
      <c r="H55" s="57">
        <f>VLOOKUP(Entradas[[#This Row],[Artículo (código)]],Existencias!A:F,6,FALSE)*Entradas[[#This Row],[Cantidad]]</f>
        <v>8.73</v>
      </c>
      <c r="I55" s="58">
        <f>Entradas[[#This Row],[Precio POR UNIDAD]]*Entradas[[#This Row],[Cantidad]]</f>
        <v>8.73</v>
      </c>
    </row>
    <row r="56" spans="1:9" x14ac:dyDescent="0.3">
      <c r="A56" s="17"/>
      <c r="B56" s="18">
        <v>46038</v>
      </c>
      <c r="C56" s="17">
        <v>2</v>
      </c>
      <c r="D56" s="17" t="str">
        <f>IF(Entradas[[#This Row],[Proveedor (código)]]="","",VLOOKUP(Entradas[[#This Row],[Proveedor (código)]],Proveedores[[#All],[Código]:[Nombre fiscal]],2,FALSE))</f>
        <v>PLAZA VEA B.A</v>
      </c>
      <c r="E56" s="47" t="s">
        <v>1201</v>
      </c>
      <c r="F56" s="17" t="str">
        <f>IF(Entradas[[#This Row],[Artículo (código)]]="","",VLOOKUP(Entradas[[#This Row],[Artículo (código)]],Existencias!A:D,4,FALSE))</f>
        <v>Lenteja BB 500 gr</v>
      </c>
      <c r="G56" s="17">
        <v>1</v>
      </c>
      <c r="H56" s="57">
        <f>VLOOKUP(Entradas[[#This Row],[Artículo (código)]],Existencias!A:F,6,FALSE)*Entradas[[#This Row],[Cantidad]]</f>
        <v>5.05</v>
      </c>
      <c r="I56" s="58">
        <f>Entradas[[#This Row],[Precio POR UNIDAD]]*Entradas[[#This Row],[Cantidad]]</f>
        <v>5.05</v>
      </c>
    </row>
    <row r="57" spans="1:9" x14ac:dyDescent="0.3">
      <c r="A57" s="17"/>
      <c r="B57" s="18">
        <v>46038</v>
      </c>
      <c r="C57" s="17">
        <v>2</v>
      </c>
      <c r="D57" s="17" t="str">
        <f>IF(Entradas[[#This Row],[Proveedor (código)]]="","",VLOOKUP(Entradas[[#This Row],[Proveedor (código)]],Proveedores[[#All],[Código]:[Nombre fiscal]],2,FALSE))</f>
        <v>PLAZA VEA B.A</v>
      </c>
      <c r="E57" s="47" t="s">
        <v>1212</v>
      </c>
      <c r="F57" s="17" t="str">
        <f>IF(Entradas[[#This Row],[Artículo (código)]]="","",VLOOKUP(Entradas[[#This Row],[Artículo (código)]],Existencias!A:D,4,FALSE))</f>
        <v>Pallar 500 gr</v>
      </c>
      <c r="G57" s="17">
        <v>1</v>
      </c>
      <c r="H57" s="57">
        <f>VLOOKUP(Entradas[[#This Row],[Artículo (código)]],Existencias!A:F,6,FALSE)*Entradas[[#This Row],[Cantidad]]</f>
        <v>0</v>
      </c>
      <c r="I57" s="58">
        <f>Entradas[[#This Row],[Precio POR UNIDAD]]*Entradas[[#This Row],[Cantidad]]</f>
        <v>0</v>
      </c>
    </row>
    <row r="58" spans="1:9" ht="13.2" customHeight="1" x14ac:dyDescent="0.3">
      <c r="A58" s="17"/>
      <c r="B58" s="18">
        <v>46038</v>
      </c>
      <c r="C58" s="17">
        <v>2</v>
      </c>
      <c r="D58" s="17" t="str">
        <f>IF(Entradas[[#This Row],[Proveedor (código)]]="","",VLOOKUP(Entradas[[#This Row],[Proveedor (código)]],Proveedores[[#All],[Código]:[Nombre fiscal]],2,FALSE))</f>
        <v>PLAZA VEA B.A</v>
      </c>
      <c r="E58" s="47" t="s">
        <v>709</v>
      </c>
      <c r="F58" s="17" t="str">
        <f>IF(Entradas[[#This Row],[Artículo (código)]]="","",VLOOKUP(Entradas[[#This Row],[Artículo (código)]],Existencias!A:D,4,FALSE))</f>
        <v>Sal Mesa 1kg</v>
      </c>
      <c r="G58" s="17">
        <v>2</v>
      </c>
      <c r="H58" s="57">
        <f>VLOOKUP(Entradas[[#This Row],[Artículo (código)]],Existencias!A:F,6,FALSE)*Entradas[[#This Row],[Cantidad]]</f>
        <v>3.34</v>
      </c>
      <c r="I58" s="58">
        <f>Entradas[[#This Row],[Precio POR UNIDAD]]*Entradas[[#This Row],[Cantidad]]</f>
        <v>6.68</v>
      </c>
    </row>
    <row r="59" spans="1:9" ht="13.2" customHeight="1" x14ac:dyDescent="0.3">
      <c r="A59" s="17"/>
      <c r="B59" s="18">
        <v>46038</v>
      </c>
      <c r="C59" s="17">
        <v>2</v>
      </c>
      <c r="D59" s="17" t="str">
        <f>IF(Entradas[[#This Row],[Proveedor (código)]]="","",VLOOKUP(Entradas[[#This Row],[Proveedor (código)]],Proveedores[[#All],[Código]:[Nombre fiscal]],2,FALSE))</f>
        <v>PLAZA VEA B.A</v>
      </c>
      <c r="E59" s="47" t="s">
        <v>1226</v>
      </c>
      <c r="F59" s="17" t="str">
        <f>IF(Entradas[[#This Row],[Artículo (código)]]="","",VLOOKUP(Entradas[[#This Row],[Artículo (código)]],Existencias!A:D,4,FALSE))</f>
        <v>Quinua 500 gr</v>
      </c>
      <c r="G59" s="17">
        <v>1</v>
      </c>
      <c r="H59" s="57">
        <f>VLOOKUP(Entradas[[#This Row],[Artículo (código)]],Existencias!A:F,6,FALSE)*Entradas[[#This Row],[Cantidad]]</f>
        <v>8.2100000000000009</v>
      </c>
      <c r="I59" s="58">
        <f>Entradas[[#This Row],[Precio POR UNIDAD]]*Entradas[[#This Row],[Cantidad]]</f>
        <v>8.2100000000000009</v>
      </c>
    </row>
    <row r="60" spans="1:9" ht="13.2" customHeight="1" x14ac:dyDescent="0.3">
      <c r="A60" s="17"/>
      <c r="B60" s="18">
        <v>46038</v>
      </c>
      <c r="C60" s="17">
        <v>2</v>
      </c>
      <c r="D60" s="17" t="str">
        <f>IF(Entradas[[#This Row],[Proveedor (código)]]="","",VLOOKUP(Entradas[[#This Row],[Proveedor (código)]],Proveedores[[#All],[Código]:[Nombre fiscal]],2,FALSE))</f>
        <v>PLAZA VEA B.A</v>
      </c>
      <c r="E60" s="47" t="s">
        <v>716</v>
      </c>
      <c r="F60" s="17" t="str">
        <f>IF(Entradas[[#This Row],[Artículo (código)]]="","",VLOOKUP(Entradas[[#This Row],[Artículo (código)]],Existencias!A:D,4,FALSE))</f>
        <v>Filete de atun agua lata</v>
      </c>
      <c r="G60" s="17">
        <v>1</v>
      </c>
      <c r="H60" s="57">
        <f>VLOOKUP(Entradas[[#This Row],[Artículo (código)]],Existencias!A:F,6,FALSE)*Entradas[[#This Row],[Cantidad]]</f>
        <v>0</v>
      </c>
      <c r="I60" s="58">
        <f>Entradas[[#This Row],[Precio POR UNIDAD]]*Entradas[[#This Row],[Cantidad]]</f>
        <v>0</v>
      </c>
    </row>
    <row r="61" spans="1:9" ht="13.2" customHeight="1" x14ac:dyDescent="0.3">
      <c r="A61" s="17"/>
      <c r="B61" s="18">
        <v>46038</v>
      </c>
      <c r="C61" s="17">
        <v>2</v>
      </c>
      <c r="D61" s="17" t="str">
        <f>IF(Entradas[[#This Row],[Proveedor (código)]]="","",VLOOKUP(Entradas[[#This Row],[Proveedor (código)]],Proveedores[[#All],[Código]:[Nombre fiscal]],2,FALSE))</f>
        <v>PLAZA VEA B.A</v>
      </c>
      <c r="E61" s="47" t="s">
        <v>1175</v>
      </c>
      <c r="F61" s="17" t="str">
        <f>IF(Entradas[[#This Row],[Artículo (código)]]="","",VLOOKUP(Entradas[[#This Row],[Artículo (código)]],Existencias!A:D,4,FALSE))</f>
        <v>Frejol Canario 500 gr</v>
      </c>
      <c r="G61" s="17">
        <v>1</v>
      </c>
      <c r="H61" s="57">
        <f>VLOOKUP(Entradas[[#This Row],[Artículo (código)]],Existencias!A:F,6,FALSE)*Entradas[[#This Row],[Cantidad]]</f>
        <v>7.9</v>
      </c>
      <c r="I61" s="58">
        <f>Entradas[[#This Row],[Precio POR UNIDAD]]*Entradas[[#This Row],[Cantidad]]</f>
        <v>7.9</v>
      </c>
    </row>
    <row r="62" spans="1:9" ht="13.2" customHeight="1" x14ac:dyDescent="0.3">
      <c r="A62" s="17"/>
      <c r="B62" s="18">
        <v>46038</v>
      </c>
      <c r="C62" s="17">
        <v>2</v>
      </c>
      <c r="D62" s="17" t="str">
        <f>IF(Entradas[[#This Row],[Proveedor (código)]]="","",VLOOKUP(Entradas[[#This Row],[Proveedor (código)]],Proveedores[[#All],[Código]:[Nombre fiscal]],2,FALSE))</f>
        <v>PLAZA VEA B.A</v>
      </c>
      <c r="E62" s="31" t="s">
        <v>1383</v>
      </c>
      <c r="F62" s="17" t="str">
        <f>IF(Entradas[[#This Row],[Artículo (código)]]="","",VLOOKUP(Entradas[[#This Row],[Artículo (código)]],Existencias!A:D,4,FALSE))</f>
        <v>Jabon liquido antibacterial 800 ml</v>
      </c>
      <c r="G62" s="17">
        <v>1</v>
      </c>
      <c r="H62" s="57">
        <f>VLOOKUP(Entradas[[#This Row],[Artículo (código)]],Existencias!A:F,6,FALSE)*Entradas[[#This Row],[Cantidad]]</f>
        <v>1</v>
      </c>
      <c r="I62" s="58">
        <f>Entradas[[#This Row],[Precio POR UNIDAD]]*Entradas[[#This Row],[Cantidad]]</f>
        <v>1</v>
      </c>
    </row>
    <row r="63" spans="1:9" ht="13.2" customHeight="1" x14ac:dyDescent="0.3">
      <c r="A63" s="17"/>
      <c r="B63" s="18">
        <v>46038</v>
      </c>
      <c r="C63" s="17">
        <v>2</v>
      </c>
      <c r="D63" s="17" t="str">
        <f>IF(Entradas[[#This Row],[Proveedor (código)]]="","",VLOOKUP(Entradas[[#This Row],[Proveedor (código)]],Proveedores[[#All],[Código]:[Nombre fiscal]],2,FALSE))</f>
        <v>PLAZA VEA B.A</v>
      </c>
      <c r="E63" s="47" t="s">
        <v>1073</v>
      </c>
      <c r="F63" s="17" t="str">
        <f>IF(Entradas[[#This Row],[Artículo (código)]]="","",VLOOKUP(Entradas[[#This Row],[Artículo (código)]],Existencias!A:D,4,FALSE))</f>
        <v>Detergente líquido 2 L</v>
      </c>
      <c r="G63" s="17">
        <v>1</v>
      </c>
      <c r="H63" s="57">
        <f>VLOOKUP(Entradas[[#This Row],[Artículo (código)]],Existencias!A:F,6,FALSE)*Entradas[[#This Row],[Cantidad]]</f>
        <v>0</v>
      </c>
      <c r="I63" s="58">
        <f>Entradas[[#This Row],[Precio POR UNIDAD]]*Entradas[[#This Row],[Cantidad]]</f>
        <v>0</v>
      </c>
    </row>
    <row r="64" spans="1:9" ht="13.2" customHeight="1" x14ac:dyDescent="0.3">
      <c r="A64" s="17"/>
      <c r="B64" s="18">
        <v>46038</v>
      </c>
      <c r="C64" s="17">
        <v>2</v>
      </c>
      <c r="D64" s="17" t="str">
        <f>IF(Entradas[[#This Row],[Proveedor (código)]]="","",VLOOKUP(Entradas[[#This Row],[Proveedor (código)]],Proveedores[[#All],[Código]:[Nombre fiscal]],2,FALSE))</f>
        <v>PLAZA VEA B.A</v>
      </c>
      <c r="E64" s="47" t="s">
        <v>1089</v>
      </c>
      <c r="F64" s="17" t="str">
        <f>IF(Entradas[[#This Row],[Artículo (código)]]="","",VLOOKUP(Entradas[[#This Row],[Artículo (código)]],Existencias!A:D,4,FALSE))</f>
        <v>Lejía líquida  4 lt</v>
      </c>
      <c r="G64" s="17">
        <v>1</v>
      </c>
      <c r="H64" s="57">
        <f>VLOOKUP(Entradas[[#This Row],[Artículo (código)]],Existencias!A:F,6,FALSE)*Entradas[[#This Row],[Cantidad]]</f>
        <v>0</v>
      </c>
      <c r="I64" s="58">
        <f>Entradas[[#This Row],[Precio POR UNIDAD]]*Entradas[[#This Row],[Cantidad]]</f>
        <v>0</v>
      </c>
    </row>
    <row r="65" spans="1:9" ht="13.2" customHeight="1" x14ac:dyDescent="0.3">
      <c r="A65" s="17"/>
      <c r="B65" s="18">
        <v>46038</v>
      </c>
      <c r="C65" s="17">
        <v>2</v>
      </c>
      <c r="D65" s="17" t="str">
        <f>IF(Entradas[[#This Row],[Proveedor (código)]]="","",VLOOKUP(Entradas[[#This Row],[Proveedor (código)]],Proveedores[[#All],[Código]:[Nombre fiscal]],2,FALSE))</f>
        <v>PLAZA VEA B.A</v>
      </c>
      <c r="E65" s="29" t="s">
        <v>1112</v>
      </c>
      <c r="F65" s="17" t="str">
        <f>IF(Entradas[[#This Row],[Artículo (código)]]="","",VLOOKUP(Entradas[[#This Row],[Artículo (código)]],Existencias!A:D,4,FALSE))</f>
        <v>Desengrasante líquido 500 ml</v>
      </c>
      <c r="G65" s="17">
        <v>1</v>
      </c>
      <c r="H65" s="57">
        <f>VLOOKUP(Entradas[[#This Row],[Artículo (código)]],Existencias!A:F,6,FALSE)*Entradas[[#This Row],[Cantidad]]</f>
        <v>0</v>
      </c>
      <c r="I65" s="58">
        <f>Entradas[[#This Row],[Precio POR UNIDAD]]*Entradas[[#This Row],[Cantidad]]</f>
        <v>0</v>
      </c>
    </row>
    <row r="66" spans="1:9" ht="13.2" customHeight="1" x14ac:dyDescent="0.3">
      <c r="A66" s="17"/>
      <c r="B66" s="18">
        <v>46038</v>
      </c>
      <c r="C66" s="17">
        <v>2</v>
      </c>
      <c r="D66" s="17" t="str">
        <f>IF(Entradas[[#This Row],[Proveedor (código)]]="","",VLOOKUP(Entradas[[#This Row],[Proveedor (código)]],Proveedores[[#All],[Código]:[Nombre fiscal]],2,FALSE))</f>
        <v>PLAZA VEA B.A</v>
      </c>
      <c r="E66" s="31" t="s">
        <v>1358</v>
      </c>
      <c r="F66" s="17" t="str">
        <f>IF(Entradas[[#This Row],[Artículo (código)]]="","",VLOOKUP(Entradas[[#This Row],[Artículo (código)]],Existencias!A:D,4,FALSE))</f>
        <v>Hot dog de pollo x 250 gr</v>
      </c>
      <c r="G66" s="17">
        <v>5</v>
      </c>
      <c r="H66" s="57">
        <f>VLOOKUP(Entradas[[#This Row],[Artículo (código)]],Existencias!A:F,6,FALSE)*Entradas[[#This Row],[Cantidad]]</f>
        <v>25.2</v>
      </c>
      <c r="I66" s="58">
        <f>Entradas[[#This Row],[Precio POR UNIDAD]]*Entradas[[#This Row],[Cantidad]]</f>
        <v>126</v>
      </c>
    </row>
    <row r="67" spans="1:9" ht="13.2" customHeight="1" x14ac:dyDescent="0.3">
      <c r="A67" s="17"/>
      <c r="B67" s="18">
        <v>46041</v>
      </c>
      <c r="C67" s="17">
        <v>5</v>
      </c>
      <c r="D67" s="17" t="str">
        <f>IF(Entradas[[#This Row],[Proveedor (código)]]="","",VLOOKUP(Entradas[[#This Row],[Proveedor (código)]],Proveedores[[#All],[Código]:[Nombre fiscal]],2,FALSE))</f>
        <v>Almacen Banco de Alimentos</v>
      </c>
      <c r="E67" s="29" t="s">
        <v>784</v>
      </c>
      <c r="F67" s="17" t="str">
        <f>IF(Entradas[[#This Row],[Artículo (código)]]="","",VLOOKUP(Entradas[[#This Row],[Artículo (código)]],Existencias!A:D,4,FALSE))</f>
        <v>Medallon de lomo</v>
      </c>
      <c r="G67" s="17">
        <v>0.79</v>
      </c>
      <c r="H67" s="57">
        <f>VLOOKUP(Entradas[[#This Row],[Artículo (código)]],Existencias!A:F,6,FALSE)*Entradas[[#This Row],[Cantidad]]</f>
        <v>0</v>
      </c>
      <c r="I67" s="58">
        <f>Entradas[[#This Row],[Precio POR UNIDAD]]*Entradas[[#This Row],[Cantidad]]</f>
        <v>0</v>
      </c>
    </row>
    <row r="68" spans="1:9" ht="13.2" customHeight="1" x14ac:dyDescent="0.3">
      <c r="A68" s="17"/>
      <c r="B68" s="18">
        <v>46041</v>
      </c>
      <c r="C68" s="17">
        <v>5</v>
      </c>
      <c r="D68" s="17" t="str">
        <f>IF(Entradas[[#This Row],[Proveedor (código)]]="","",VLOOKUP(Entradas[[#This Row],[Proveedor (código)]],Proveedores[[#All],[Código]:[Nombre fiscal]],2,FALSE))</f>
        <v>Almacen Banco de Alimentos</v>
      </c>
      <c r="E68" s="29" t="s">
        <v>777</v>
      </c>
      <c r="F68" s="17" t="str">
        <f>IF(Entradas[[#This Row],[Artículo (código)]]="","",VLOOKUP(Entradas[[#This Row],[Artículo (código)]],Existencias!A:D,4,FALSE))</f>
        <v>bondiola</v>
      </c>
      <c r="G68" s="17">
        <v>0.98499999999999999</v>
      </c>
      <c r="H68" s="57">
        <f>VLOOKUP(Entradas[[#This Row],[Artículo (código)]],Existencias!A:F,6,FALSE)*Entradas[[#This Row],[Cantidad]]</f>
        <v>0</v>
      </c>
      <c r="I68" s="58">
        <f>Entradas[[#This Row],[Precio POR UNIDAD]]*Entradas[[#This Row],[Cantidad]]</f>
        <v>0</v>
      </c>
    </row>
    <row r="69" spans="1:9" ht="13.2" customHeight="1" x14ac:dyDescent="0.3">
      <c r="A69" s="17"/>
      <c r="B69" s="18">
        <v>46041</v>
      </c>
      <c r="C69" s="17">
        <v>5</v>
      </c>
      <c r="D69" s="17" t="str">
        <f>IF(Entradas[[#This Row],[Proveedor (código)]]="","",VLOOKUP(Entradas[[#This Row],[Proveedor (código)]],Proveedores[[#All],[Código]:[Nombre fiscal]],2,FALSE))</f>
        <v>Almacen Banco de Alimentos</v>
      </c>
      <c r="E69" s="31" t="s">
        <v>915</v>
      </c>
      <c r="F69" s="17" t="str">
        <f>IF(Entradas[[#This Row],[Artículo (código)]]="","",VLOOKUP(Entradas[[#This Row],[Artículo (código)]],Existencias!A:D,4,FALSE))</f>
        <v>Chorizo Finas Hierbas x4</v>
      </c>
      <c r="G69" s="17">
        <v>2</v>
      </c>
      <c r="H69" s="57">
        <f>VLOOKUP(Entradas[[#This Row],[Artículo (código)]],Existencias!A:F,6,FALSE)*Entradas[[#This Row],[Cantidad]]</f>
        <v>24.46</v>
      </c>
      <c r="I69" s="58">
        <f>Entradas[[#This Row],[Precio POR UNIDAD]]*Entradas[[#This Row],[Cantidad]]</f>
        <v>48.92</v>
      </c>
    </row>
    <row r="70" spans="1:9" ht="13.2" customHeight="1" x14ac:dyDescent="0.3">
      <c r="A70" s="17"/>
      <c r="B70" s="18">
        <v>46041</v>
      </c>
      <c r="C70" s="17">
        <v>5</v>
      </c>
      <c r="D70" s="17" t="str">
        <f>IF(Entradas[[#This Row],[Proveedor (código)]]="","",VLOOKUP(Entradas[[#This Row],[Proveedor (código)]],Proveedores[[#All],[Código]:[Nombre fiscal]],2,FALSE))</f>
        <v>Almacen Banco de Alimentos</v>
      </c>
      <c r="E70" s="29" t="s">
        <v>746</v>
      </c>
      <c r="F70" s="17" t="str">
        <f>IF(Entradas[[#This Row],[Artículo (código)]]="","",VLOOKUP(Entradas[[#This Row],[Artículo (código)]],Existencias!A:D,4,FALSE))</f>
        <v>Piernas de pollo kg</v>
      </c>
      <c r="G70" s="17">
        <v>1.83</v>
      </c>
      <c r="H70" s="57">
        <f>VLOOKUP(Entradas[[#This Row],[Artículo (código)]],Existencias!A:F,6,FALSE)*Entradas[[#This Row],[Cantidad]]</f>
        <v>22.179600000000001</v>
      </c>
      <c r="I70" s="58">
        <f>Entradas[[#This Row],[Precio POR UNIDAD]]*Entradas[[#This Row],[Cantidad]]</f>
        <v>40.588668000000006</v>
      </c>
    </row>
    <row r="71" spans="1:9" ht="13.2" customHeight="1" x14ac:dyDescent="0.3">
      <c r="A71" s="17"/>
      <c r="B71" s="18">
        <v>46041</v>
      </c>
      <c r="C71" s="17">
        <v>5</v>
      </c>
      <c r="D71" s="17" t="str">
        <f>IF(Entradas[[#This Row],[Proveedor (código)]]="","",VLOOKUP(Entradas[[#This Row],[Proveedor (código)]],Proveedores[[#All],[Código]:[Nombre fiscal]],2,FALSE))</f>
        <v>Almacen Banco de Alimentos</v>
      </c>
      <c r="E71" s="29" t="s">
        <v>727</v>
      </c>
      <c r="F71" s="17" t="str">
        <f>IF(Entradas[[#This Row],[Artículo (código)]]="","",VLOOKUP(Entradas[[#This Row],[Artículo (código)]],Existencias!A:D,4,FALSE))</f>
        <v>Pollo piernas  c/ encuentro bandeja</v>
      </c>
      <c r="G71" s="17">
        <v>2.105</v>
      </c>
      <c r="H71" s="57">
        <f>VLOOKUP(Entradas[[#This Row],[Artículo (código)]],Existencias!A:F,6,FALSE)*Entradas[[#This Row],[Cantidad]]</f>
        <v>0</v>
      </c>
      <c r="I71" s="58">
        <f>Entradas[[#This Row],[Precio POR UNIDAD]]*Entradas[[#This Row],[Cantidad]]</f>
        <v>0</v>
      </c>
    </row>
    <row r="72" spans="1:9" ht="13.2" customHeight="1" x14ac:dyDescent="0.3">
      <c r="A72" s="17"/>
      <c r="B72" s="18">
        <v>46041</v>
      </c>
      <c r="C72" s="17">
        <v>5</v>
      </c>
      <c r="D72" s="17" t="str">
        <f>IF(Entradas[[#This Row],[Proveedor (código)]]="","",VLOOKUP(Entradas[[#This Row],[Proveedor (código)]],Proveedores[[#All],[Código]:[Nombre fiscal]],2,FALSE))</f>
        <v>Almacen Banco de Alimentos</v>
      </c>
      <c r="E72" s="29" t="s">
        <v>773</v>
      </c>
      <c r="F72" s="17" t="str">
        <f>IF(Entradas[[#This Row],[Artículo (código)]]="","",VLOOKUP(Entradas[[#This Row],[Artículo (código)]],Existencias!A:D,4,FALSE))</f>
        <v>Panceta con hueso</v>
      </c>
      <c r="G72" s="17">
        <v>4</v>
      </c>
      <c r="H72" s="57">
        <f>VLOOKUP(Entradas[[#This Row],[Artículo (código)]],Existencias!A:F,6,FALSE)*Entradas[[#This Row],[Cantidad]]</f>
        <v>0</v>
      </c>
      <c r="I72" s="58">
        <f>Entradas[[#This Row],[Precio POR UNIDAD]]*Entradas[[#This Row],[Cantidad]]</f>
        <v>0</v>
      </c>
    </row>
    <row r="73" spans="1:9" ht="13.2" customHeight="1" x14ac:dyDescent="0.3">
      <c r="A73" s="17"/>
      <c r="B73" s="18">
        <v>46041</v>
      </c>
      <c r="C73" s="17">
        <v>5</v>
      </c>
      <c r="D73" s="17" t="str">
        <f>IF(Entradas[[#This Row],[Proveedor (código)]]="","",VLOOKUP(Entradas[[#This Row],[Proveedor (código)]],Proveedores[[#All],[Código]:[Nombre fiscal]],2,FALSE))</f>
        <v>Almacen Banco de Alimentos</v>
      </c>
      <c r="E73" s="29" t="s">
        <v>1330</v>
      </c>
      <c r="F73" s="17" t="str">
        <f>IF(Entradas[[#This Row],[Artículo (código)]]="","",VLOOKUP(Entradas[[#This Row],[Artículo (código)]],Existencias!A:D,4,FALSE))</f>
        <v>Asado de tira</v>
      </c>
      <c r="G73" s="17">
        <v>0.71</v>
      </c>
      <c r="H73" s="57">
        <f>VLOOKUP(Entradas[[#This Row],[Artículo (código)]],Existencias!A:F,6,FALSE)*Entradas[[#This Row],[Cantidad]]</f>
        <v>0</v>
      </c>
      <c r="I73" s="58">
        <f>Entradas[[#This Row],[Precio POR UNIDAD]]*Entradas[[#This Row],[Cantidad]]</f>
        <v>0</v>
      </c>
    </row>
    <row r="74" spans="1:9" ht="13.2" customHeight="1" x14ac:dyDescent="0.3">
      <c r="A74" s="17"/>
      <c r="B74" s="18">
        <v>46041</v>
      </c>
      <c r="C74" s="17">
        <v>5</v>
      </c>
      <c r="D74" s="17" t="str">
        <f>IF(Entradas[[#This Row],[Proveedor (código)]]="","",VLOOKUP(Entradas[[#This Row],[Proveedor (código)]],Proveedores[[#All],[Código]:[Nombre fiscal]],2,FALSE))</f>
        <v>Almacen Banco de Alimentos</v>
      </c>
      <c r="E74" s="29" t="s">
        <v>1306</v>
      </c>
      <c r="F74" s="17" t="str">
        <f>IF(Entradas[[#This Row],[Artículo (código)]]="","",VLOOKUP(Entradas[[#This Row],[Artículo (código)]],Existencias!A:D,4,FALSE))</f>
        <v>Punta de pecho</v>
      </c>
      <c r="G74" s="17">
        <v>0.66</v>
      </c>
      <c r="H74" s="57">
        <f>VLOOKUP(Entradas[[#This Row],[Artículo (código)]],Existencias!A:F,6,FALSE)*Entradas[[#This Row],[Cantidad]]</f>
        <v>0</v>
      </c>
      <c r="I74" s="58">
        <f>Entradas[[#This Row],[Precio POR UNIDAD]]*Entradas[[#This Row],[Cantidad]]</f>
        <v>0</v>
      </c>
    </row>
    <row r="75" spans="1:9" ht="13.2" customHeight="1" x14ac:dyDescent="0.3">
      <c r="A75" s="17"/>
      <c r="B75" s="18">
        <v>46041</v>
      </c>
      <c r="C75" s="17">
        <v>5</v>
      </c>
      <c r="D75" s="17" t="str">
        <f>IF(Entradas[[#This Row],[Proveedor (código)]]="","",VLOOKUP(Entradas[[#This Row],[Proveedor (código)]],Proveedores[[#All],[Código]:[Nombre fiscal]],2,FALSE))</f>
        <v>Almacen Banco de Alimentos</v>
      </c>
      <c r="E75" s="29" t="s">
        <v>775</v>
      </c>
      <c r="F75" s="17" t="str">
        <f>IF(Entradas[[#This Row],[Artículo (código)]]="","",VLOOKUP(Entradas[[#This Row],[Artículo (código)]],Existencias!A:D,4,FALSE))</f>
        <v>chuleta de pierna</v>
      </c>
      <c r="G75" s="17">
        <v>1.605</v>
      </c>
      <c r="H75" s="57">
        <f>VLOOKUP(Entradas[[#This Row],[Artículo (código)]],Existencias!A:F,6,FALSE)*Entradas[[#This Row],[Cantidad]]</f>
        <v>0</v>
      </c>
      <c r="I75" s="58">
        <f>Entradas[[#This Row],[Precio POR UNIDAD]]*Entradas[[#This Row],[Cantidad]]</f>
        <v>0</v>
      </c>
    </row>
    <row r="76" spans="1:9" ht="13.2" customHeight="1" x14ac:dyDescent="0.3">
      <c r="A76" s="17"/>
      <c r="B76" s="18">
        <v>46041</v>
      </c>
      <c r="C76" s="17">
        <v>5</v>
      </c>
      <c r="D76" s="17" t="str">
        <f>IF(Entradas[[#This Row],[Proveedor (código)]]="","",VLOOKUP(Entradas[[#This Row],[Proveedor (código)]],Proveedores[[#All],[Código]:[Nombre fiscal]],2,FALSE))</f>
        <v>Almacen Banco de Alimentos</v>
      </c>
      <c r="E76" s="31" t="s">
        <v>1358</v>
      </c>
      <c r="F76" s="17" t="str">
        <f>IF(Entradas[[#This Row],[Artículo (código)]]="","",VLOOKUP(Entradas[[#This Row],[Artículo (código)]],Existencias!A:D,4,FALSE))</f>
        <v>Hot dog de pollo x 250 gr</v>
      </c>
      <c r="G76" s="17">
        <v>1</v>
      </c>
      <c r="H76" s="57">
        <f>VLOOKUP(Entradas[[#This Row],[Artículo (código)]],Existencias!A:F,6,FALSE)*Entradas[[#This Row],[Cantidad]]</f>
        <v>5.04</v>
      </c>
      <c r="I76" s="58">
        <f>Entradas[[#This Row],[Precio POR UNIDAD]]*Entradas[[#This Row],[Cantidad]]</f>
        <v>5.04</v>
      </c>
    </row>
    <row r="77" spans="1:9" ht="13.2" customHeight="1" x14ac:dyDescent="0.3">
      <c r="A77" s="17"/>
      <c r="B77" s="18">
        <v>46041</v>
      </c>
      <c r="C77" s="17">
        <v>5</v>
      </c>
      <c r="D77" s="17" t="str">
        <f>IF(Entradas[[#This Row],[Proveedor (código)]]="","",VLOOKUP(Entradas[[#This Row],[Proveedor (código)]],Proveedores[[#All],[Código]:[Nombre fiscal]],2,FALSE))</f>
        <v>Almacen Banco de Alimentos</v>
      </c>
      <c r="E77" s="31" t="s">
        <v>1366</v>
      </c>
      <c r="F77" s="17" t="str">
        <f>IF(Entradas[[#This Row],[Artículo (código)]]="","",VLOOKUP(Entradas[[#This Row],[Artículo (código)]],Existencias!A:D,4,FALSE))</f>
        <v>Hot dog  pavo</v>
      </c>
      <c r="G77" s="17">
        <v>1</v>
      </c>
      <c r="H77" s="57">
        <f>VLOOKUP(Entradas[[#This Row],[Artículo (código)]],Existencias!A:F,6,FALSE)*Entradas[[#This Row],[Cantidad]]</f>
        <v>1</v>
      </c>
      <c r="I77" s="58">
        <f>Entradas[[#This Row],[Precio POR UNIDAD]]*Entradas[[#This Row],[Cantidad]]</f>
        <v>1</v>
      </c>
    </row>
    <row r="78" spans="1:9" ht="13.2" customHeight="1" x14ac:dyDescent="0.3">
      <c r="A78" s="17"/>
      <c r="B78" s="18">
        <v>46041</v>
      </c>
      <c r="C78" s="17">
        <v>4</v>
      </c>
      <c r="D78" s="17" t="str">
        <f>IF(Entradas[[#This Row],[Proveedor (código)]]="","",VLOOKUP(Entradas[[#This Row],[Proveedor (código)]],Proveedores[[#All],[Código]:[Nombre fiscal]],2,FALSE))</f>
        <v>Metro B.A</v>
      </c>
      <c r="E78" s="29" t="s">
        <v>1059</v>
      </c>
      <c r="F78" s="17" t="str">
        <f>IF(Entradas[[#This Row],[Artículo (código)]]="","",VLOOKUP(Entradas[[#This Row],[Artículo (código)]],Existencias!A:D,4,FALSE))</f>
        <v>Yogurt  1 lt</v>
      </c>
      <c r="G78" s="17">
        <v>2</v>
      </c>
      <c r="H78" s="57">
        <f>VLOOKUP(Entradas[[#This Row],[Artículo (código)]],Existencias!A:F,6,FALSE)*Entradas[[#This Row],[Cantidad]]</f>
        <v>9.14</v>
      </c>
      <c r="I78" s="58">
        <f>Entradas[[#This Row],[Precio POR UNIDAD]]*Entradas[[#This Row],[Cantidad]]</f>
        <v>18.28</v>
      </c>
    </row>
    <row r="79" spans="1:9" ht="13.2" customHeight="1" x14ac:dyDescent="0.3">
      <c r="A79" s="17"/>
      <c r="B79" s="18">
        <v>46041</v>
      </c>
      <c r="C79" s="17">
        <v>4</v>
      </c>
      <c r="D79" s="17" t="str">
        <f>IF(Entradas[[#This Row],[Proveedor (código)]]="","",VLOOKUP(Entradas[[#This Row],[Proveedor (código)]],Proveedores[[#All],[Código]:[Nombre fiscal]],2,FALSE))</f>
        <v>Metro B.A</v>
      </c>
      <c r="E79" s="29" t="s">
        <v>750</v>
      </c>
      <c r="F79" s="17" t="str">
        <f>IF(Entradas[[#This Row],[Artículo (código)]]="","",VLOOKUP(Entradas[[#This Row],[Artículo (código)]],Existencias!A:D,4,FALSE))</f>
        <v>Azucar blanca 2 kg</v>
      </c>
      <c r="G79" s="17">
        <v>1</v>
      </c>
      <c r="H79" s="57">
        <f>VLOOKUP(Entradas[[#This Row],[Artículo (código)]],Existencias!A:F,6,FALSE)*Entradas[[#This Row],[Cantidad]]</f>
        <v>7.36</v>
      </c>
      <c r="I79" s="58">
        <f>Entradas[[#This Row],[Precio POR UNIDAD]]*Entradas[[#This Row],[Cantidad]]</f>
        <v>7.36</v>
      </c>
    </row>
    <row r="80" spans="1:9" ht="13.2" customHeight="1" x14ac:dyDescent="0.3">
      <c r="A80" s="17"/>
      <c r="B80" s="18">
        <v>46041</v>
      </c>
      <c r="C80" s="17">
        <v>4</v>
      </c>
      <c r="D80" s="17" t="str">
        <f>IF(Entradas[[#This Row],[Proveedor (código)]]="","",VLOOKUP(Entradas[[#This Row],[Proveedor (código)]],Proveedores[[#All],[Código]:[Nombre fiscal]],2,FALSE))</f>
        <v>Metro B.A</v>
      </c>
      <c r="E80" s="29" t="s">
        <v>800</v>
      </c>
      <c r="F80" s="17" t="str">
        <f>IF(Entradas[[#This Row],[Artículo (código)]]="","",VLOOKUP(Entradas[[#This Row],[Artículo (código)]],Existencias!A:D,4,FALSE))</f>
        <v xml:space="preserve">Arroz 5 kg </v>
      </c>
      <c r="G80" s="17">
        <v>2</v>
      </c>
      <c r="H80" s="57">
        <f>VLOOKUP(Entradas[[#This Row],[Artículo (código)]],Existencias!A:F,6,FALSE)*Entradas[[#This Row],[Cantidad]]</f>
        <v>49.9</v>
      </c>
      <c r="I80" s="58">
        <f>Entradas[[#This Row],[Precio POR UNIDAD]]*Entradas[[#This Row],[Cantidad]]</f>
        <v>99.8</v>
      </c>
    </row>
    <row r="81" spans="1:9" ht="13.2" customHeight="1" x14ac:dyDescent="0.3">
      <c r="A81" s="17"/>
      <c r="B81" s="18">
        <v>46041</v>
      </c>
      <c r="C81" s="17">
        <v>4</v>
      </c>
      <c r="D81" s="17" t="str">
        <f>IF(Entradas[[#This Row],[Proveedor (código)]]="","",VLOOKUP(Entradas[[#This Row],[Proveedor (código)]],Proveedores[[#All],[Código]:[Nombre fiscal]],2,FALSE))</f>
        <v>Metro B.A</v>
      </c>
      <c r="E81" s="29" t="s">
        <v>917</v>
      </c>
      <c r="F81" s="17" t="str">
        <f>IF(Entradas[[#This Row],[Artículo (código)]]="","",VLOOKUP(Entradas[[#This Row],[Artículo (código)]],Existencias!A:D,4,FALSE))</f>
        <v>Fideos largos 900 gr</v>
      </c>
      <c r="G81" s="17">
        <v>1</v>
      </c>
      <c r="H81" s="57">
        <f>VLOOKUP(Entradas[[#This Row],[Artículo (código)]],Existencias!A:F,6,FALSE)*Entradas[[#This Row],[Cantidad]]</f>
        <v>4.75</v>
      </c>
      <c r="I81" s="58">
        <f>Entradas[[#This Row],[Precio POR UNIDAD]]*Entradas[[#This Row],[Cantidad]]</f>
        <v>4.75</v>
      </c>
    </row>
    <row r="82" spans="1:9" ht="13.2" customHeight="1" x14ac:dyDescent="0.3">
      <c r="A82" s="17"/>
      <c r="B82" s="18">
        <v>46041</v>
      </c>
      <c r="C82" s="17">
        <v>4</v>
      </c>
      <c r="D82" s="17" t="str">
        <f>IF(Entradas[[#This Row],[Proveedor (código)]]="","",VLOOKUP(Entradas[[#This Row],[Proveedor (código)]],Proveedores[[#All],[Código]:[Nombre fiscal]],2,FALSE))</f>
        <v>Metro B.A</v>
      </c>
      <c r="E82" s="47" t="s">
        <v>799</v>
      </c>
      <c r="F82" s="17" t="str">
        <f>IF(Entradas[[#This Row],[Artículo (código)]]="","",VLOOKUP(Entradas[[#This Row],[Artículo (código)]],Existencias!A:D,4,FALSE))</f>
        <v>Arroz 1 kg</v>
      </c>
      <c r="G82" s="17">
        <v>1</v>
      </c>
      <c r="H82" s="57">
        <f>VLOOKUP(Entradas[[#This Row],[Artículo (código)]],Existencias!A:F,6,FALSE)*Entradas[[#This Row],[Cantidad]]</f>
        <v>4.7300000000000004</v>
      </c>
      <c r="I82" s="58">
        <f>Entradas[[#This Row],[Precio POR UNIDAD]]*Entradas[[#This Row],[Cantidad]]</f>
        <v>4.7300000000000004</v>
      </c>
    </row>
    <row r="83" spans="1:9" ht="13.2" customHeight="1" x14ac:dyDescent="0.3">
      <c r="A83" s="17"/>
      <c r="B83" s="18">
        <v>46041</v>
      </c>
      <c r="C83" s="17">
        <v>4</v>
      </c>
      <c r="D83" s="17" t="str">
        <f>IF(Entradas[[#This Row],[Proveedor (código)]]="","",VLOOKUP(Entradas[[#This Row],[Proveedor (código)]],Proveedores[[#All],[Código]:[Nombre fiscal]],2,FALSE))</f>
        <v>Metro B.A</v>
      </c>
      <c r="E83" s="29" t="s">
        <v>919</v>
      </c>
      <c r="F83" s="17" t="str">
        <f>IF(Entradas[[#This Row],[Artículo (código)]]="","",VLOOKUP(Entradas[[#This Row],[Artículo (código)]],Existencias!A:D,4,FALSE))</f>
        <v>Fideos cortos 250 gr</v>
      </c>
      <c r="G83" s="17">
        <v>6</v>
      </c>
      <c r="H83" s="57">
        <f>VLOOKUP(Entradas[[#This Row],[Artículo (código)]],Existencias!A:F,6,FALSE)*Entradas[[#This Row],[Cantidad]]</f>
        <v>15.48</v>
      </c>
      <c r="I83" s="58">
        <f>Entradas[[#This Row],[Precio POR UNIDAD]]*Entradas[[#This Row],[Cantidad]]</f>
        <v>92.88</v>
      </c>
    </row>
    <row r="84" spans="1:9" ht="13.2" customHeight="1" x14ac:dyDescent="0.3">
      <c r="A84" s="17"/>
      <c r="B84" s="18">
        <v>46041</v>
      </c>
      <c r="C84" s="17">
        <v>4</v>
      </c>
      <c r="D84" s="17" t="str">
        <f>IF(Entradas[[#This Row],[Proveedor (código)]]="","",VLOOKUP(Entradas[[#This Row],[Proveedor (código)]],Proveedores[[#All],[Código]:[Nombre fiscal]],2,FALSE))</f>
        <v>Metro B.A</v>
      </c>
      <c r="E84" s="29" t="s">
        <v>917</v>
      </c>
      <c r="F84" s="17" t="str">
        <f>IF(Entradas[[#This Row],[Artículo (código)]]="","",VLOOKUP(Entradas[[#This Row],[Artículo (código)]],Existencias!A:D,4,FALSE))</f>
        <v>Fideos largos 900 gr</v>
      </c>
      <c r="G84" s="17">
        <v>1</v>
      </c>
      <c r="H84" s="57">
        <f>VLOOKUP(Entradas[[#This Row],[Artículo (código)]],Existencias!A:F,6,FALSE)*Entradas[[#This Row],[Cantidad]]</f>
        <v>4.75</v>
      </c>
      <c r="I84" s="58">
        <f>Entradas[[#This Row],[Precio POR UNIDAD]]*Entradas[[#This Row],[Cantidad]]</f>
        <v>4.75</v>
      </c>
    </row>
    <row r="85" spans="1:9" ht="13.2" customHeight="1" x14ac:dyDescent="0.3">
      <c r="A85" s="17"/>
      <c r="B85" s="18">
        <v>46041</v>
      </c>
      <c r="C85" s="17">
        <v>4</v>
      </c>
      <c r="D85" s="17" t="str">
        <f>IF(Entradas[[#This Row],[Proveedor (código)]]="","",VLOOKUP(Entradas[[#This Row],[Proveedor (código)]],Proveedores[[#All],[Código]:[Nombre fiscal]],2,FALSE))</f>
        <v>Metro B.A</v>
      </c>
      <c r="E85" s="47" t="s">
        <v>896</v>
      </c>
      <c r="F85" s="17" t="str">
        <f>IF(Entradas[[#This Row],[Artículo (código)]]="","",VLOOKUP(Entradas[[#This Row],[Artículo (código)]],Existencias!A:D,4,FALSE))</f>
        <v>Duraznos en mitades 820 gr</v>
      </c>
      <c r="G85" s="17">
        <v>1</v>
      </c>
      <c r="H85" s="57">
        <f>VLOOKUP(Entradas[[#This Row],[Artículo (código)]],Existencias!A:F,6,FALSE)*Entradas[[#This Row],[Cantidad]]</f>
        <v>8.73</v>
      </c>
      <c r="I85" s="58">
        <f>Entradas[[#This Row],[Precio POR UNIDAD]]*Entradas[[#This Row],[Cantidad]]</f>
        <v>8.73</v>
      </c>
    </row>
    <row r="86" spans="1:9" ht="13.2" customHeight="1" x14ac:dyDescent="0.3">
      <c r="A86" s="17"/>
      <c r="B86" s="18">
        <v>46041</v>
      </c>
      <c r="C86" s="17">
        <v>4</v>
      </c>
      <c r="D86" s="17" t="str">
        <f>IF(Entradas[[#This Row],[Proveedor (código)]]="","",VLOOKUP(Entradas[[#This Row],[Proveedor (código)]],Proveedores[[#All],[Código]:[Nombre fiscal]],2,FALSE))</f>
        <v>Metro B.A</v>
      </c>
      <c r="E86" s="29" t="s">
        <v>923</v>
      </c>
      <c r="F86" s="17" t="e">
        <f>IF(Entradas[[#This Row],[Artículo (código)]]="","",VLOOKUP(Entradas[[#This Row],[Artículo (código)]],Existencias!A:D,4,FALSE))</f>
        <v>#N/A</v>
      </c>
      <c r="G86" s="17">
        <v>2</v>
      </c>
      <c r="H86" s="57" t="e">
        <f>VLOOKUP(Entradas[[#This Row],[Artículo (código)]],Existencias!A:F,6,FALSE)*Entradas[[#This Row],[Cantidad]]</f>
        <v>#N/A</v>
      </c>
      <c r="I86" s="58" t="e">
        <f>Entradas[[#This Row],[Precio POR UNIDAD]]*Entradas[[#This Row],[Cantidad]]</f>
        <v>#N/A</v>
      </c>
    </row>
    <row r="87" spans="1:9" ht="13.2" customHeight="1" x14ac:dyDescent="0.3">
      <c r="A87" s="17"/>
      <c r="B87" s="18">
        <v>46041</v>
      </c>
      <c r="C87" s="17">
        <v>4</v>
      </c>
      <c r="D87" s="17" t="str">
        <f>IF(Entradas[[#This Row],[Proveedor (código)]]="","",VLOOKUP(Entradas[[#This Row],[Proveedor (código)]],Proveedores[[#All],[Código]:[Nombre fiscal]],2,FALSE))</f>
        <v>Metro B.A</v>
      </c>
      <c r="E87" s="29" t="s">
        <v>1284</v>
      </c>
      <c r="F87" s="17" t="str">
        <f>IF(Entradas[[#This Row],[Artículo (código)]]="","",VLOOKUP(Entradas[[#This Row],[Artículo (código)]],Existencias!A:D,4,FALSE))</f>
        <v>Paneton</v>
      </c>
      <c r="G87" s="17">
        <v>1</v>
      </c>
      <c r="H87" s="57">
        <f>VLOOKUP(Entradas[[#This Row],[Artículo (código)]],Existencias!A:F,6,FALSE)*Entradas[[#This Row],[Cantidad]]</f>
        <v>0</v>
      </c>
      <c r="I87" s="58">
        <f>Entradas[[#This Row],[Precio POR UNIDAD]]*Entradas[[#This Row],[Cantidad]]</f>
        <v>0</v>
      </c>
    </row>
    <row r="88" spans="1:9" ht="13.2" customHeight="1" x14ac:dyDescent="0.3">
      <c r="A88" s="17"/>
      <c r="B88" s="18">
        <v>46041</v>
      </c>
      <c r="C88" s="17">
        <v>4</v>
      </c>
      <c r="D88" s="17" t="str">
        <f>IF(Entradas[[#This Row],[Proveedor (código)]]="","",VLOOKUP(Entradas[[#This Row],[Proveedor (código)]],Proveedores[[#All],[Código]:[Nombre fiscal]],2,FALSE))</f>
        <v>Metro B.A</v>
      </c>
      <c r="E88" s="46" t="s">
        <v>755</v>
      </c>
      <c r="F88" s="17" t="str">
        <f>IF(Entradas[[#This Row],[Artículo (código)]]="","",VLOOKUP(Entradas[[#This Row],[Artículo (código)]],Existencias!A:D,4,FALSE))</f>
        <v>Azucar rubia 5 kg</v>
      </c>
      <c r="G88" s="17">
        <v>2</v>
      </c>
      <c r="H88" s="57">
        <f>VLOOKUP(Entradas[[#This Row],[Artículo (código)]],Existencias!A:F,6,FALSE)*Entradas[[#This Row],[Cantidad]]</f>
        <v>31.78</v>
      </c>
      <c r="I88" s="58">
        <f>Entradas[[#This Row],[Precio POR UNIDAD]]*Entradas[[#This Row],[Cantidad]]</f>
        <v>63.56</v>
      </c>
    </row>
    <row r="89" spans="1:9" ht="13.2" customHeight="1" x14ac:dyDescent="0.3">
      <c r="A89" s="17"/>
      <c r="B89" s="18">
        <v>46042</v>
      </c>
      <c r="C89" s="17">
        <v>8</v>
      </c>
      <c r="D89" s="17" t="str">
        <f>IF(Entradas[[#This Row],[Proveedor (código)]]="","",VLOOKUP(Entradas[[#This Row],[Proveedor (código)]],Proveedores[[#All],[Código]:[Nombre fiscal]],2,FALSE))</f>
        <v>MOR</v>
      </c>
      <c r="E89" s="29" t="s">
        <v>989</v>
      </c>
      <c r="F89" s="17" t="str">
        <f>IF(Entradas[[#This Row],[Artículo (código)]]="","",VLOOKUP(Entradas[[#This Row],[Artículo (código)]],Existencias!A:D,4,FALSE))</f>
        <v>Huevo pardo</v>
      </c>
      <c r="G89" s="17">
        <v>30</v>
      </c>
      <c r="H89" s="57">
        <f>VLOOKUP(Entradas[[#This Row],[Artículo (código)]],Existencias!A:F,6,FALSE)*Entradas[[#This Row],[Cantidad]]</f>
        <v>0</v>
      </c>
      <c r="I89" s="58">
        <f>Entradas[[#This Row],[Precio POR UNIDAD]]*Entradas[[#This Row],[Cantidad]]</f>
        <v>0</v>
      </c>
    </row>
    <row r="90" spans="1:9" ht="13.2" customHeight="1" x14ac:dyDescent="0.3">
      <c r="A90" s="17"/>
      <c r="B90" s="18">
        <v>46043</v>
      </c>
      <c r="C90" s="17">
        <v>10</v>
      </c>
      <c r="D90" s="17" t="str">
        <f>IF(Entradas[[#This Row],[Proveedor (código)]]="","",VLOOKUP(Entradas[[#This Row],[Proveedor (código)]],Proveedores[[#All],[Código]:[Nombre fiscal]],2,FALSE))</f>
        <v>Eggs</v>
      </c>
      <c r="E90" s="29" t="s">
        <v>989</v>
      </c>
      <c r="F90" s="17" t="str">
        <f>IF(Entradas[[#This Row],[Artículo (código)]]="","",VLOOKUP(Entradas[[#This Row],[Artículo (código)]],Existencias!A:D,4,FALSE))</f>
        <v>Huevo pardo</v>
      </c>
      <c r="G90" s="17">
        <v>100</v>
      </c>
      <c r="H90" s="57">
        <f>VLOOKUP(Entradas[[#This Row],[Artículo (código)]],Existencias!A:F,6,FALSE)*Entradas[[#This Row],[Cantidad]]</f>
        <v>0</v>
      </c>
      <c r="I90" s="58">
        <f>Entradas[[#This Row],[Precio POR UNIDAD]]*Entradas[[#This Row],[Cantidad]]</f>
        <v>0</v>
      </c>
    </row>
    <row r="91" spans="1:9" ht="13.2" customHeight="1" x14ac:dyDescent="0.3">
      <c r="A91" s="17"/>
      <c r="B91" s="18">
        <v>46043</v>
      </c>
      <c r="C91" s="17">
        <v>4</v>
      </c>
      <c r="D91" s="17" t="str">
        <f>IF(Entradas[[#This Row],[Proveedor (código)]]="","",VLOOKUP(Entradas[[#This Row],[Proveedor (código)]],Proveedores[[#All],[Código]:[Nombre fiscal]],2,FALSE))</f>
        <v>Metro B.A</v>
      </c>
      <c r="E91" s="29" t="s">
        <v>750</v>
      </c>
      <c r="F91" s="17" t="str">
        <f>IF(Entradas[[#This Row],[Artículo (código)]]="","",VLOOKUP(Entradas[[#This Row],[Artículo (código)]],Existencias!A:D,4,FALSE))</f>
        <v>Azucar blanca 2 kg</v>
      </c>
      <c r="G91" s="17">
        <v>1</v>
      </c>
      <c r="H91" s="57">
        <f>VLOOKUP(Entradas[[#This Row],[Artículo (código)]],Existencias!A:F,6,FALSE)*Entradas[[#This Row],[Cantidad]]</f>
        <v>7.36</v>
      </c>
      <c r="I91" s="58">
        <f>Entradas[[#This Row],[Precio POR UNIDAD]]*Entradas[[#This Row],[Cantidad]]</f>
        <v>7.36</v>
      </c>
    </row>
    <row r="92" spans="1:9" ht="13.2" customHeight="1" x14ac:dyDescent="0.3">
      <c r="A92" s="17"/>
      <c r="B92" s="18">
        <v>46043</v>
      </c>
      <c r="C92" s="17">
        <v>4</v>
      </c>
      <c r="D92" s="17" t="str">
        <f>IF(Entradas[[#This Row],[Proveedor (código)]]="","",VLOOKUP(Entradas[[#This Row],[Proveedor (código)]],Proveedores[[#All],[Código]:[Nombre fiscal]],2,FALSE))</f>
        <v>Metro B.A</v>
      </c>
      <c r="E92" s="29" t="s">
        <v>800</v>
      </c>
      <c r="F92" s="17" t="str">
        <f>IF(Entradas[[#This Row],[Artículo (código)]]="","",VLOOKUP(Entradas[[#This Row],[Artículo (código)]],Existencias!A:D,4,FALSE))</f>
        <v xml:space="preserve">Arroz 5 kg </v>
      </c>
      <c r="G92" s="17">
        <v>3</v>
      </c>
      <c r="H92" s="57">
        <f>VLOOKUP(Entradas[[#This Row],[Artículo (código)]],Existencias!A:F,6,FALSE)*Entradas[[#This Row],[Cantidad]]</f>
        <v>74.849999999999994</v>
      </c>
      <c r="I92" s="58">
        <f>Entradas[[#This Row],[Precio POR UNIDAD]]*Entradas[[#This Row],[Cantidad]]</f>
        <v>224.54999999999998</v>
      </c>
    </row>
    <row r="93" spans="1:9" ht="13.2" customHeight="1" x14ac:dyDescent="0.3">
      <c r="A93" s="17"/>
      <c r="B93" s="18">
        <v>46043</v>
      </c>
      <c r="C93" s="17">
        <v>4</v>
      </c>
      <c r="D93" s="17" t="str">
        <f>IF(Entradas[[#This Row],[Proveedor (código)]]="","",VLOOKUP(Entradas[[#This Row],[Proveedor (código)]],Proveedores[[#All],[Código]:[Nombre fiscal]],2,FALSE))</f>
        <v>Metro B.A</v>
      </c>
      <c r="E93" s="46" t="s">
        <v>917</v>
      </c>
      <c r="F93" s="17" t="str">
        <f>IF(Entradas[[#This Row],[Artículo (código)]]="","",VLOOKUP(Entradas[[#This Row],[Artículo (código)]],Existencias!A:D,4,FALSE))</f>
        <v>Fideos largos 900 gr</v>
      </c>
      <c r="G93" s="17">
        <v>5</v>
      </c>
      <c r="H93" s="57">
        <f>VLOOKUP(Entradas[[#This Row],[Artículo (código)]],Existencias!A:F,6,FALSE)*Entradas[[#This Row],[Cantidad]]</f>
        <v>23.75</v>
      </c>
      <c r="I93" s="58">
        <f>Entradas[[#This Row],[Precio POR UNIDAD]]*Entradas[[#This Row],[Cantidad]]</f>
        <v>118.75</v>
      </c>
    </row>
    <row r="94" spans="1:9" ht="13.2" customHeight="1" x14ac:dyDescent="0.3">
      <c r="A94" s="17"/>
      <c r="B94" s="18">
        <v>46043</v>
      </c>
      <c r="C94" s="17">
        <v>4</v>
      </c>
      <c r="D94" s="17" t="str">
        <f>IF(Entradas[[#This Row],[Proveedor (código)]]="","",VLOOKUP(Entradas[[#This Row],[Proveedor (código)]],Proveedores[[#All],[Código]:[Nombre fiscal]],2,FALSE))</f>
        <v>Metro B.A</v>
      </c>
      <c r="E94" s="29" t="s">
        <v>709</v>
      </c>
      <c r="F94" s="17" t="str">
        <f>IF(Entradas[[#This Row],[Artículo (código)]]="","",VLOOKUP(Entradas[[#This Row],[Artículo (código)]],Existencias!A:D,4,FALSE))</f>
        <v>Sal Mesa 1kg</v>
      </c>
      <c r="G94" s="17">
        <v>1</v>
      </c>
      <c r="H94" s="57">
        <f>VLOOKUP(Entradas[[#This Row],[Artículo (código)]],Existencias!A:F,6,FALSE)*Entradas[[#This Row],[Cantidad]]</f>
        <v>1.67</v>
      </c>
      <c r="I94" s="58">
        <f>Entradas[[#This Row],[Precio POR UNIDAD]]*Entradas[[#This Row],[Cantidad]]</f>
        <v>1.67</v>
      </c>
    </row>
    <row r="95" spans="1:9" ht="13.2" customHeight="1" x14ac:dyDescent="0.3">
      <c r="A95" s="17"/>
      <c r="B95" s="18">
        <v>46043</v>
      </c>
      <c r="C95" s="17">
        <v>4</v>
      </c>
      <c r="D95" s="17" t="str">
        <f>IF(Entradas[[#This Row],[Proveedor (código)]]="","",VLOOKUP(Entradas[[#This Row],[Proveedor (código)]],Proveedores[[#All],[Código]:[Nombre fiscal]],2,FALSE))</f>
        <v>Metro B.A</v>
      </c>
      <c r="E95" s="29" t="s">
        <v>919</v>
      </c>
      <c r="F95" s="17" t="str">
        <f>IF(Entradas[[#This Row],[Artículo (código)]]="","",VLOOKUP(Entradas[[#This Row],[Artículo (código)]],Existencias!A:D,4,FALSE))</f>
        <v>Fideos cortos 250 gr</v>
      </c>
      <c r="G95" s="17">
        <v>2</v>
      </c>
      <c r="H95" s="57">
        <f>VLOOKUP(Entradas[[#This Row],[Artículo (código)]],Existencias!A:F,6,FALSE)*Entradas[[#This Row],[Cantidad]]</f>
        <v>5.16</v>
      </c>
      <c r="I95" s="58">
        <f>Entradas[[#This Row],[Precio POR UNIDAD]]*Entradas[[#This Row],[Cantidad]]</f>
        <v>10.32</v>
      </c>
    </row>
    <row r="96" spans="1:9" ht="13.2" customHeight="1" x14ac:dyDescent="0.3">
      <c r="A96" s="17"/>
      <c r="B96" s="18">
        <v>46043</v>
      </c>
      <c r="C96" s="17">
        <v>4</v>
      </c>
      <c r="D96" s="17" t="str">
        <f>IF(Entradas[[#This Row],[Proveedor (código)]]="","",VLOOKUP(Entradas[[#This Row],[Proveedor (código)]],Proveedores[[#All],[Código]:[Nombre fiscal]],2,FALSE))</f>
        <v>Metro B.A</v>
      </c>
      <c r="E96" s="29" t="s">
        <v>749</v>
      </c>
      <c r="F96" s="17" t="str">
        <f>IF(Entradas[[#This Row],[Artículo (código)]]="","",VLOOKUP(Entradas[[#This Row],[Artículo (código)]],Existencias!A:D,4,FALSE))</f>
        <v>Azucar blanca 5 kg</v>
      </c>
      <c r="G96" s="17">
        <v>1</v>
      </c>
      <c r="H96" s="57">
        <f>VLOOKUP(Entradas[[#This Row],[Artículo (código)]],Existencias!A:F,6,FALSE)*Entradas[[#This Row],[Cantidad]]</f>
        <v>17.690000000000001</v>
      </c>
      <c r="I96" s="58">
        <f>Entradas[[#This Row],[Precio POR UNIDAD]]*Entradas[[#This Row],[Cantidad]]</f>
        <v>17.690000000000001</v>
      </c>
    </row>
    <row r="97" spans="1:9" ht="13.2" customHeight="1" x14ac:dyDescent="0.3">
      <c r="A97" s="17"/>
      <c r="B97" s="18">
        <v>46043</v>
      </c>
      <c r="C97" s="17">
        <v>4</v>
      </c>
      <c r="D97" s="17" t="str">
        <f>IF(Entradas[[#This Row],[Proveedor (código)]]="","",VLOOKUP(Entradas[[#This Row],[Proveedor (código)]],Proveedores[[#All],[Código]:[Nombre fiscal]],2,FALSE))</f>
        <v>Metro B.A</v>
      </c>
      <c r="E97" s="29" t="s">
        <v>799</v>
      </c>
      <c r="F97" s="17" t="str">
        <f>IF(Entradas[[#This Row],[Artículo (código)]]="","",VLOOKUP(Entradas[[#This Row],[Artículo (código)]],Existencias!A:D,4,FALSE))</f>
        <v>Arroz 1 kg</v>
      </c>
      <c r="G97" s="17">
        <v>3</v>
      </c>
      <c r="H97" s="57">
        <f>VLOOKUP(Entradas[[#This Row],[Artículo (código)]],Existencias!A:F,6,FALSE)*Entradas[[#This Row],[Cantidad]]</f>
        <v>14.190000000000001</v>
      </c>
      <c r="I97" s="58">
        <f>Entradas[[#This Row],[Precio POR UNIDAD]]*Entradas[[#This Row],[Cantidad]]</f>
        <v>42.570000000000007</v>
      </c>
    </row>
    <row r="98" spans="1:9" ht="13.2" customHeight="1" x14ac:dyDescent="0.3">
      <c r="A98" s="17"/>
      <c r="B98" s="18">
        <v>46043</v>
      </c>
      <c r="C98" s="17">
        <v>4</v>
      </c>
      <c r="D98" s="17" t="str">
        <f>IF(Entradas[[#This Row],[Proveedor (código)]]="","",VLOOKUP(Entradas[[#This Row],[Proveedor (código)]],Proveedores[[#All],[Código]:[Nombre fiscal]],2,FALSE))</f>
        <v>Metro B.A</v>
      </c>
      <c r="E98" s="29" t="s">
        <v>714</v>
      </c>
      <c r="F98" s="17" t="str">
        <f>IF(Entradas[[#This Row],[Artículo (código)]]="","",VLOOKUP(Entradas[[#This Row],[Artículo (código)]],Existencias!A:D,4,FALSE))</f>
        <v>Manzanilla 25 und</v>
      </c>
      <c r="G98" s="17">
        <v>1</v>
      </c>
      <c r="H98" s="57">
        <f>VLOOKUP(Entradas[[#This Row],[Artículo (código)]],Existencias!A:F,6,FALSE)*Entradas[[#This Row],[Cantidad]]</f>
        <v>0</v>
      </c>
      <c r="I98" s="58">
        <f>Entradas[[#This Row],[Precio POR UNIDAD]]*Entradas[[#This Row],[Cantidad]]</f>
        <v>0</v>
      </c>
    </row>
    <row r="99" spans="1:9" ht="13.2" customHeight="1" x14ac:dyDescent="0.3">
      <c r="A99" s="17"/>
      <c r="B99" s="18">
        <v>46043</v>
      </c>
      <c r="C99" s="17">
        <v>4</v>
      </c>
      <c r="D99" s="17" t="str">
        <f>IF(Entradas[[#This Row],[Proveedor (código)]]="","",VLOOKUP(Entradas[[#This Row],[Proveedor (código)]],Proveedores[[#All],[Código]:[Nombre fiscal]],2,FALSE))</f>
        <v>Metro B.A</v>
      </c>
      <c r="E99" s="29" t="s">
        <v>746</v>
      </c>
      <c r="F99" s="17" t="str">
        <f>IF(Entradas[[#This Row],[Artículo (código)]]="","",VLOOKUP(Entradas[[#This Row],[Artículo (código)]],Existencias!A:D,4,FALSE))</f>
        <v>Piernas de pollo kg</v>
      </c>
      <c r="G99" s="17">
        <v>1</v>
      </c>
      <c r="H99" s="57">
        <f>VLOOKUP(Entradas[[#This Row],[Artículo (código)]],Existencias!A:F,6,FALSE)*Entradas[[#This Row],[Cantidad]]</f>
        <v>12.12</v>
      </c>
      <c r="I99" s="58">
        <f>Entradas[[#This Row],[Precio POR UNIDAD]]*Entradas[[#This Row],[Cantidad]]</f>
        <v>12.12</v>
      </c>
    </row>
    <row r="100" spans="1:9" ht="13.2" customHeight="1" x14ac:dyDescent="0.3">
      <c r="A100" s="17"/>
      <c r="B100" s="18">
        <v>46050</v>
      </c>
      <c r="C100" s="17">
        <v>4</v>
      </c>
      <c r="D100" s="17" t="str">
        <f>IF(Entradas[[#This Row],[Proveedor (código)]]="","",VLOOKUP(Entradas[[#This Row],[Proveedor (código)]],Proveedores[[#All],[Código]:[Nombre fiscal]],2,FALSE))</f>
        <v>Metro B.A</v>
      </c>
      <c r="E100" s="29" t="s">
        <v>919</v>
      </c>
      <c r="F100" s="17" t="str">
        <f>IF(Entradas[[#This Row],[Artículo (código)]]="","",VLOOKUP(Entradas[[#This Row],[Artículo (código)]],Existencias!A:D,4,FALSE))</f>
        <v>Fideos cortos 250 gr</v>
      </c>
      <c r="G100" s="17">
        <v>2</v>
      </c>
      <c r="H100" s="57">
        <f>VLOOKUP(Entradas[[#This Row],[Artículo (código)]],Existencias!A:F,6,FALSE)*Entradas[[#This Row],[Cantidad]]</f>
        <v>5.16</v>
      </c>
      <c r="I100" s="58">
        <f>Entradas[[#This Row],[Precio POR UNIDAD]]*Entradas[[#This Row],[Cantidad]]</f>
        <v>10.32</v>
      </c>
    </row>
    <row r="101" spans="1:9" ht="13.2" customHeight="1" x14ac:dyDescent="0.3">
      <c r="A101" s="17"/>
      <c r="B101" s="18">
        <v>46050</v>
      </c>
      <c r="C101" s="17">
        <v>4</v>
      </c>
      <c r="D101" s="17" t="str">
        <f>IF(Entradas[[#This Row],[Proveedor (código)]]="","",VLOOKUP(Entradas[[#This Row],[Proveedor (código)]],Proveedores[[#All],[Código]:[Nombre fiscal]],2,FALSE))</f>
        <v>Metro B.A</v>
      </c>
      <c r="E101" s="29" t="s">
        <v>799</v>
      </c>
      <c r="F101" s="17" t="str">
        <f>IF(Entradas[[#This Row],[Artículo (código)]]="","",VLOOKUP(Entradas[[#This Row],[Artículo (código)]],Existencias!A:D,4,FALSE))</f>
        <v>Arroz 1 kg</v>
      </c>
      <c r="G101" s="17">
        <v>1</v>
      </c>
      <c r="H101" s="57">
        <f>VLOOKUP(Entradas[[#This Row],[Artículo (código)]],Existencias!A:F,6,FALSE)*Entradas[[#This Row],[Cantidad]]</f>
        <v>4.7300000000000004</v>
      </c>
      <c r="I101" s="58">
        <f>Entradas[[#This Row],[Precio POR UNIDAD]]*Entradas[[#This Row],[Cantidad]]</f>
        <v>4.7300000000000004</v>
      </c>
    </row>
    <row r="102" spans="1:9" ht="13.2" customHeight="1" x14ac:dyDescent="0.3">
      <c r="A102" s="17"/>
      <c r="B102" s="18">
        <v>46050</v>
      </c>
      <c r="C102" s="17">
        <v>4</v>
      </c>
      <c r="D102" s="17" t="str">
        <f>IF(Entradas[[#This Row],[Proveedor (código)]]="","",VLOOKUP(Entradas[[#This Row],[Proveedor (código)]],Proveedores[[#All],[Código]:[Nombre fiscal]],2,FALSE))</f>
        <v>Metro B.A</v>
      </c>
      <c r="E102" s="29" t="s">
        <v>800</v>
      </c>
      <c r="F102" s="17" t="str">
        <f>IF(Entradas[[#This Row],[Artículo (código)]]="","",VLOOKUP(Entradas[[#This Row],[Artículo (código)]],Existencias!A:D,4,FALSE))</f>
        <v xml:space="preserve">Arroz 5 kg </v>
      </c>
      <c r="G102" s="17">
        <v>1</v>
      </c>
      <c r="H102" s="57">
        <f>VLOOKUP(Entradas[[#This Row],[Artículo (código)]],Existencias!A:F,6,FALSE)*Entradas[[#This Row],[Cantidad]]</f>
        <v>24.95</v>
      </c>
      <c r="I102" s="58">
        <f>Entradas[[#This Row],[Precio POR UNIDAD]]*Entradas[[#This Row],[Cantidad]]</f>
        <v>24.95</v>
      </c>
    </row>
    <row r="103" spans="1:9" ht="13.2" customHeight="1" x14ac:dyDescent="0.3">
      <c r="A103" s="17"/>
      <c r="B103" s="18">
        <v>46050</v>
      </c>
      <c r="C103" s="17">
        <v>4</v>
      </c>
      <c r="D103" s="17" t="str">
        <f>IF(Entradas[[#This Row],[Proveedor (código)]]="","",VLOOKUP(Entradas[[#This Row],[Proveedor (código)]],Proveedores[[#All],[Código]:[Nombre fiscal]],2,FALSE))</f>
        <v>Metro B.A</v>
      </c>
      <c r="E103" s="29" t="s">
        <v>1226</v>
      </c>
      <c r="F103" s="17" t="str">
        <f>IF(Entradas[[#This Row],[Artículo (código)]]="","",VLOOKUP(Entradas[[#This Row],[Artículo (código)]],Existencias!A:D,4,FALSE))</f>
        <v>Quinua 500 gr</v>
      </c>
      <c r="G103" s="17">
        <v>1</v>
      </c>
      <c r="H103" s="57">
        <f>VLOOKUP(Entradas[[#This Row],[Artículo (código)]],Existencias!A:F,6,FALSE)*Entradas[[#This Row],[Cantidad]]</f>
        <v>8.2100000000000009</v>
      </c>
      <c r="I103" s="58">
        <f>Entradas[[#This Row],[Precio POR UNIDAD]]*Entradas[[#This Row],[Cantidad]]</f>
        <v>8.2100000000000009</v>
      </c>
    </row>
    <row r="104" spans="1:9" ht="13.2" customHeight="1" x14ac:dyDescent="0.3">
      <c r="A104" s="17"/>
      <c r="B104" s="18">
        <v>46050</v>
      </c>
      <c r="C104" s="17">
        <v>4</v>
      </c>
      <c r="D104" s="17" t="str">
        <f>IF(Entradas[[#This Row],[Proveedor (código)]]="","",VLOOKUP(Entradas[[#This Row],[Proveedor (código)]],Proveedores[[#All],[Código]:[Nombre fiscal]],2,FALSE))</f>
        <v>Metro B.A</v>
      </c>
      <c r="E104" s="29" t="s">
        <v>804</v>
      </c>
      <c r="F104" s="17" t="str">
        <f>IF(Entradas[[#This Row],[Artículo (código)]]="","",VLOOKUP(Entradas[[#This Row],[Artículo (código)]],Existencias!A:D,4,FALSE))</f>
        <v>Arroz Integral 1 kg</v>
      </c>
      <c r="G104" s="17">
        <v>1</v>
      </c>
      <c r="H104" s="57">
        <f>VLOOKUP(Entradas[[#This Row],[Artículo (código)]],Existencias!A:F,6,FALSE)*Entradas[[#This Row],[Cantidad]]</f>
        <v>4.6900000000000004</v>
      </c>
      <c r="I104" s="58">
        <f>Entradas[[#This Row],[Precio POR UNIDAD]]*Entradas[[#This Row],[Cantidad]]</f>
        <v>4.6900000000000004</v>
      </c>
    </row>
    <row r="105" spans="1:9" ht="13.2" customHeight="1" x14ac:dyDescent="0.3">
      <c r="A105" s="17"/>
      <c r="B105" s="18">
        <v>46050</v>
      </c>
      <c r="C105" s="17">
        <v>4</v>
      </c>
      <c r="D105" s="17" t="str">
        <f>IF(Entradas[[#This Row],[Proveedor (código)]]="","",VLOOKUP(Entradas[[#This Row],[Proveedor (código)]],Proveedores[[#All],[Código]:[Nombre fiscal]],2,FALSE))</f>
        <v>Metro B.A</v>
      </c>
      <c r="E105" s="29" t="s">
        <v>1042</v>
      </c>
      <c r="F105" s="17" t="str">
        <f>IF(Entradas[[#This Row],[Artículo (código)]]="","",VLOOKUP(Entradas[[#This Row],[Artículo (código)]],Existencias!A:D,4,FALSE))</f>
        <v>Leche 900 ml caja</v>
      </c>
      <c r="G105" s="17">
        <v>1</v>
      </c>
      <c r="H105" s="57">
        <f>VLOOKUP(Entradas[[#This Row],[Artículo (código)]],Existencias!A:F,6,FALSE)*Entradas[[#This Row],[Cantidad]]</f>
        <v>0</v>
      </c>
      <c r="I105" s="58">
        <f>Entradas[[#This Row],[Precio POR UNIDAD]]*Entradas[[#This Row],[Cantidad]]</f>
        <v>0</v>
      </c>
    </row>
    <row r="106" spans="1:9" ht="13.2" customHeight="1" x14ac:dyDescent="0.3">
      <c r="A106" s="17"/>
      <c r="B106" s="18">
        <v>46050</v>
      </c>
      <c r="C106" s="17">
        <v>4</v>
      </c>
      <c r="D106" s="17" t="str">
        <f>IF(Entradas[[#This Row],[Proveedor (código)]]="","",VLOOKUP(Entradas[[#This Row],[Proveedor (código)]],Proveedores[[#All],[Código]:[Nombre fiscal]],2,FALSE))</f>
        <v>Metro B.A</v>
      </c>
      <c r="E106" s="29" t="s">
        <v>1204</v>
      </c>
      <c r="F106" s="17" t="str">
        <f>IF(Entradas[[#This Row],[Artículo (código)]]="","",VLOOKUP(Entradas[[#This Row],[Artículo (código)]],Existencias!A:D,4,FALSE))</f>
        <v>Maiz Cancha 500 gr</v>
      </c>
      <c r="G106" s="17">
        <v>1</v>
      </c>
      <c r="H106" s="57">
        <f>VLOOKUP(Entradas[[#This Row],[Artículo (código)]],Existencias!A:F,6,FALSE)*Entradas[[#This Row],[Cantidad]]</f>
        <v>0</v>
      </c>
      <c r="I106" s="58">
        <f>Entradas[[#This Row],[Precio POR UNIDAD]]*Entradas[[#This Row],[Cantidad]]</f>
        <v>0</v>
      </c>
    </row>
    <row r="107" spans="1:9" ht="13.2" customHeight="1" x14ac:dyDescent="0.3">
      <c r="A107" s="17"/>
      <c r="B107" s="18">
        <v>46050</v>
      </c>
      <c r="C107" s="17">
        <v>4</v>
      </c>
      <c r="D107" s="17" t="str">
        <f>IF(Entradas[[#This Row],[Proveedor (código)]]="","",VLOOKUP(Entradas[[#This Row],[Proveedor (código)]],Proveedores[[#All],[Código]:[Nombre fiscal]],2,FALSE))</f>
        <v>Metro B.A</v>
      </c>
      <c r="E107" s="29" t="s">
        <v>1207</v>
      </c>
      <c r="F107" s="17" t="str">
        <f>IF(Entradas[[#This Row],[Artículo (código)]]="","",VLOOKUP(Entradas[[#This Row],[Artículo (código)]],Existencias!A:D,4,FALSE))</f>
        <v>Moron 500 gr</v>
      </c>
      <c r="G107" s="17">
        <v>1</v>
      </c>
      <c r="H107" s="57">
        <f>VLOOKUP(Entradas[[#This Row],[Artículo (código)]],Existencias!A:F,6,FALSE)*Entradas[[#This Row],[Cantidad]]</f>
        <v>0</v>
      </c>
      <c r="I107" s="58">
        <f>Entradas[[#This Row],[Precio POR UNIDAD]]*Entradas[[#This Row],[Cantidad]]</f>
        <v>0</v>
      </c>
    </row>
    <row r="108" spans="1:9" ht="13.2" customHeight="1" x14ac:dyDescent="0.3">
      <c r="A108" s="17"/>
      <c r="B108" s="18">
        <v>46050</v>
      </c>
      <c r="C108" s="17">
        <v>4</v>
      </c>
      <c r="D108" s="17" t="str">
        <f>IF(Entradas[[#This Row],[Proveedor (código)]]="","",VLOOKUP(Entradas[[#This Row],[Proveedor (código)]],Proveedores[[#All],[Código]:[Nombre fiscal]],2,FALSE))</f>
        <v>Metro B.A</v>
      </c>
      <c r="E108" s="29" t="s">
        <v>917</v>
      </c>
      <c r="F108" s="17" t="str">
        <f>IF(Entradas[[#This Row],[Artículo (código)]]="","",VLOOKUP(Entradas[[#This Row],[Artículo (código)]],Existencias!A:D,4,FALSE))</f>
        <v>Fideos largos 900 gr</v>
      </c>
      <c r="G108" s="17">
        <v>1</v>
      </c>
      <c r="H108" s="57">
        <f>VLOOKUP(Entradas[[#This Row],[Artículo (código)]],Existencias!A:F,6,FALSE)*Entradas[[#This Row],[Cantidad]]</f>
        <v>4.75</v>
      </c>
      <c r="I108" s="58">
        <f>Entradas[[#This Row],[Precio POR UNIDAD]]*Entradas[[#This Row],[Cantidad]]</f>
        <v>4.75</v>
      </c>
    </row>
    <row r="109" spans="1:9" ht="13.2" customHeight="1" x14ac:dyDescent="0.3">
      <c r="A109" s="17"/>
      <c r="B109" s="18">
        <v>46050</v>
      </c>
      <c r="C109" s="17">
        <v>4</v>
      </c>
      <c r="D109" s="17" t="str">
        <f>IF(Entradas[[#This Row],[Proveedor (código)]]="","",VLOOKUP(Entradas[[#This Row],[Proveedor (código)]],Proveedores[[#All],[Código]:[Nombre fiscal]],2,FALSE))</f>
        <v>Metro B.A</v>
      </c>
      <c r="E109" s="29" t="s">
        <v>916</v>
      </c>
      <c r="F109" s="17" t="str">
        <f>IF(Entradas[[#This Row],[Artículo (código)]]="","",VLOOKUP(Entradas[[#This Row],[Artículo (código)]],Existencias!A:D,4,FALSE))</f>
        <v>Fideos largos 500 gr</v>
      </c>
      <c r="G109" s="17">
        <v>1</v>
      </c>
      <c r="H109" s="57">
        <f>VLOOKUP(Entradas[[#This Row],[Artículo (código)]],Existencias!A:F,6,FALSE)*Entradas[[#This Row],[Cantidad]]</f>
        <v>2.71</v>
      </c>
      <c r="I109" s="58">
        <f>Entradas[[#This Row],[Precio POR UNIDAD]]*Entradas[[#This Row],[Cantidad]]</f>
        <v>2.71</v>
      </c>
    </row>
    <row r="110" spans="1:9" ht="13.2" customHeight="1" x14ac:dyDescent="0.3">
      <c r="A110" s="17"/>
      <c r="B110" s="18">
        <v>46050</v>
      </c>
      <c r="C110" s="17">
        <v>4</v>
      </c>
      <c r="D110" s="17" t="str">
        <f>IF(Entradas[[#This Row],[Proveedor (código)]]="","",VLOOKUP(Entradas[[#This Row],[Proveedor (código)]],Proveedores[[#All],[Código]:[Nombre fiscal]],2,FALSE))</f>
        <v>Metro B.A</v>
      </c>
      <c r="E110" s="29" t="s">
        <v>923</v>
      </c>
      <c r="F110" s="17" t="e">
        <f>IF(Entradas[[#This Row],[Artículo (código)]]="","",VLOOKUP(Entradas[[#This Row],[Artículo (código)]],Existencias!A:D,4,FALSE))</f>
        <v>#N/A</v>
      </c>
      <c r="G110" s="17">
        <v>4</v>
      </c>
      <c r="H110" s="57" t="e">
        <f>VLOOKUP(Entradas[[#This Row],[Artículo (código)]],Existencias!A:F,6,FALSE)*Entradas[[#This Row],[Cantidad]]</f>
        <v>#N/A</v>
      </c>
      <c r="I110" s="58" t="e">
        <f>Entradas[[#This Row],[Precio POR UNIDAD]]*Entradas[[#This Row],[Cantidad]]</f>
        <v>#N/A</v>
      </c>
    </row>
    <row r="111" spans="1:9" x14ac:dyDescent="0.3">
      <c r="A111" s="17"/>
      <c r="B111" s="18">
        <v>46055</v>
      </c>
      <c r="C111" s="17">
        <v>5</v>
      </c>
      <c r="D111" s="17" t="str">
        <f>IF(Entradas[[#This Row],[Proveedor (código)]]="","",VLOOKUP(Entradas[[#This Row],[Proveedor (código)]],Proveedores[[#All],[Código]:[Nombre fiscal]],2,FALSE))</f>
        <v>Almacen Banco de Alimentos</v>
      </c>
      <c r="E111" s="31" t="s">
        <v>914</v>
      </c>
      <c r="F111" s="17" t="str">
        <f>IF(Entradas[[#This Row],[Artículo (código)]]="","",VLOOKUP(Entradas[[#This Row],[Artículo (código)]],Existencias!A:D,4,FALSE))</f>
        <v>Chorizo Parrillero x 4</v>
      </c>
      <c r="G111" s="17">
        <v>16</v>
      </c>
      <c r="H111" s="57">
        <f>VLOOKUP(Entradas[[#This Row],[Artículo (código)]],Existencias!A:F,6,FALSE)*Entradas[[#This Row],[Cantidad]]</f>
        <v>136.63999999999999</v>
      </c>
      <c r="I111" s="58">
        <f>Entradas[[#This Row],[Precio POR UNIDAD]]*Entradas[[#This Row],[Cantidad]]</f>
        <v>2186.2399999999998</v>
      </c>
    </row>
    <row r="112" spans="1:9" x14ac:dyDescent="0.3">
      <c r="A112" s="17"/>
      <c r="B112" s="18">
        <v>46055</v>
      </c>
      <c r="C112" s="17">
        <v>4</v>
      </c>
      <c r="D112" s="17" t="str">
        <f>IF(Entradas[[#This Row],[Proveedor (código)]]="","",VLOOKUP(Entradas[[#This Row],[Proveedor (código)]],Proveedores[[#All],[Código]:[Nombre fiscal]],2,FALSE))</f>
        <v>Metro B.A</v>
      </c>
      <c r="E112" s="29" t="s">
        <v>916</v>
      </c>
      <c r="F112" s="17" t="str">
        <f>IF(Entradas[[#This Row],[Artículo (código)]]="","",VLOOKUP(Entradas[[#This Row],[Artículo (código)]],Existencias!A:D,4,FALSE))</f>
        <v>Fideos largos 500 gr</v>
      </c>
      <c r="G112" s="17">
        <v>3</v>
      </c>
      <c r="H112" s="57">
        <f>VLOOKUP(Entradas[[#This Row],[Artículo (código)]],Existencias!A:F,6,FALSE)*Entradas[[#This Row],[Cantidad]]</f>
        <v>8.129999999999999</v>
      </c>
      <c r="I112" s="58">
        <f>Entradas[[#This Row],[Precio POR UNIDAD]]*Entradas[[#This Row],[Cantidad]]</f>
        <v>24.389999999999997</v>
      </c>
    </row>
    <row r="113" spans="1:9" x14ac:dyDescent="0.3">
      <c r="A113" s="17"/>
      <c r="B113" s="18">
        <v>46055</v>
      </c>
      <c r="C113" s="17">
        <v>4</v>
      </c>
      <c r="D113" s="17" t="str">
        <f>IF(Entradas[[#This Row],[Proveedor (código)]]="","",VLOOKUP(Entradas[[#This Row],[Proveedor (código)]],Proveedores[[#All],[Código]:[Nombre fiscal]],2,FALSE))</f>
        <v>Metro B.A</v>
      </c>
      <c r="E113" s="29" t="s">
        <v>917</v>
      </c>
      <c r="F113" s="17" t="str">
        <f>IF(Entradas[[#This Row],[Artículo (código)]]="","",VLOOKUP(Entradas[[#This Row],[Artículo (código)]],Existencias!A:D,4,FALSE))</f>
        <v>Fideos largos 900 gr</v>
      </c>
      <c r="G113" s="17">
        <v>4</v>
      </c>
      <c r="H113" s="57">
        <f>VLOOKUP(Entradas[[#This Row],[Artículo (código)]],Existencias!A:F,6,FALSE)*Entradas[[#This Row],[Cantidad]]</f>
        <v>19</v>
      </c>
      <c r="I113" s="58">
        <f>Entradas[[#This Row],[Precio POR UNIDAD]]*Entradas[[#This Row],[Cantidad]]</f>
        <v>76</v>
      </c>
    </row>
    <row r="114" spans="1:9" x14ac:dyDescent="0.3">
      <c r="A114" s="17"/>
      <c r="B114" s="18">
        <v>46055</v>
      </c>
      <c r="C114" s="17">
        <v>4</v>
      </c>
      <c r="D114" s="17" t="str">
        <f>IF(Entradas[[#This Row],[Proveedor (código)]]="","",VLOOKUP(Entradas[[#This Row],[Proveedor (código)]],Proveedores[[#All],[Código]:[Nombre fiscal]],2,FALSE))</f>
        <v>Metro B.A</v>
      </c>
      <c r="E114" s="29" t="s">
        <v>919</v>
      </c>
      <c r="F114" s="17" t="str">
        <f>IF(Entradas[[#This Row],[Artículo (código)]]="","",VLOOKUP(Entradas[[#This Row],[Artículo (código)]],Existencias!A:D,4,FALSE))</f>
        <v>Fideos cortos 250 gr</v>
      </c>
      <c r="G114" s="17">
        <v>6</v>
      </c>
      <c r="H114" s="57">
        <f>VLOOKUP(Entradas[[#This Row],[Artículo (código)]],Existencias!A:F,6,FALSE)*Entradas[[#This Row],[Cantidad]]</f>
        <v>15.48</v>
      </c>
      <c r="I114" s="58">
        <f>Entradas[[#This Row],[Precio POR UNIDAD]]*Entradas[[#This Row],[Cantidad]]</f>
        <v>92.88</v>
      </c>
    </row>
    <row r="115" spans="1:9" x14ac:dyDescent="0.3">
      <c r="A115" s="17"/>
      <c r="B115" s="18">
        <v>46055</v>
      </c>
      <c r="C115" s="17">
        <v>4</v>
      </c>
      <c r="D115" s="17" t="str">
        <f>IF(Entradas[[#This Row],[Proveedor (código)]]="","",VLOOKUP(Entradas[[#This Row],[Proveedor (código)]],Proveedores[[#All],[Código]:[Nombre fiscal]],2,FALSE))</f>
        <v>Metro B.A</v>
      </c>
      <c r="E115" s="29" t="s">
        <v>788</v>
      </c>
      <c r="F115" s="17" t="str">
        <f>IF(Entradas[[#This Row],[Artículo (código)]]="","",VLOOKUP(Entradas[[#This Row],[Artículo (código)]],Existencias!A:D,4,FALSE))</f>
        <v>Avena  1 kl</v>
      </c>
      <c r="G115" s="17">
        <v>1</v>
      </c>
      <c r="H115" s="57">
        <f>VLOOKUP(Entradas[[#This Row],[Artículo (código)]],Existencias!A:F,6,FALSE)*Entradas[[#This Row],[Cantidad]]</f>
        <v>7.75</v>
      </c>
      <c r="I115" s="58">
        <f>Entradas[[#This Row],[Precio POR UNIDAD]]*Entradas[[#This Row],[Cantidad]]</f>
        <v>7.75</v>
      </c>
    </row>
    <row r="116" spans="1:9" x14ac:dyDescent="0.3">
      <c r="A116" s="17"/>
      <c r="B116" s="18">
        <v>46055</v>
      </c>
      <c r="C116" s="17">
        <v>4</v>
      </c>
      <c r="D116" s="17" t="str">
        <f>IF(Entradas[[#This Row],[Proveedor (código)]]="","",VLOOKUP(Entradas[[#This Row],[Proveedor (código)]],Proveedores[[#All],[Código]:[Nombre fiscal]],2,FALSE))</f>
        <v>Metro B.A</v>
      </c>
      <c r="E116" s="29" t="s">
        <v>1201</v>
      </c>
      <c r="F116" s="17" t="str">
        <f>IF(Entradas[[#This Row],[Artículo (código)]]="","",VLOOKUP(Entradas[[#This Row],[Artículo (código)]],Existencias!A:D,4,FALSE))</f>
        <v>Lenteja BB 500 gr</v>
      </c>
      <c r="G116" s="17">
        <v>2</v>
      </c>
      <c r="H116" s="57">
        <f>VLOOKUP(Entradas[[#This Row],[Artículo (código)]],Existencias!A:F,6,FALSE)*Entradas[[#This Row],[Cantidad]]</f>
        <v>10.1</v>
      </c>
      <c r="I116" s="58">
        <f>Entradas[[#This Row],[Precio POR UNIDAD]]*Entradas[[#This Row],[Cantidad]]</f>
        <v>20.2</v>
      </c>
    </row>
    <row r="117" spans="1:9" x14ac:dyDescent="0.3">
      <c r="A117" s="17"/>
      <c r="B117" s="18">
        <v>46055</v>
      </c>
      <c r="C117" s="17">
        <v>4</v>
      </c>
      <c r="D117" s="17" t="str">
        <f>IF(Entradas[[#This Row],[Proveedor (código)]]="","",VLOOKUP(Entradas[[#This Row],[Proveedor (código)]],Proveedores[[#All],[Código]:[Nombre fiscal]],2,FALSE))</f>
        <v>Metro B.A</v>
      </c>
      <c r="E117" s="29" t="s">
        <v>803</v>
      </c>
      <c r="F117" s="17" t="str">
        <f>IF(Entradas[[#This Row],[Artículo (código)]]="","",VLOOKUP(Entradas[[#This Row],[Artículo (código)]],Existencias!A:D,4,FALSE))</f>
        <v>Arroz 3 kl gr</v>
      </c>
      <c r="G117" s="17">
        <v>1</v>
      </c>
      <c r="H117" s="57">
        <f>VLOOKUP(Entradas[[#This Row],[Artículo (código)]],Existencias!A:F,6,FALSE)*Entradas[[#This Row],[Cantidad]]</f>
        <v>0</v>
      </c>
      <c r="I117" s="58">
        <f>Entradas[[#This Row],[Precio POR UNIDAD]]*Entradas[[#This Row],[Cantidad]]</f>
        <v>0</v>
      </c>
    </row>
    <row r="118" spans="1:9" x14ac:dyDescent="0.3">
      <c r="A118" s="17"/>
      <c r="B118" s="18">
        <v>46055</v>
      </c>
      <c r="C118" s="17">
        <v>4</v>
      </c>
      <c r="D118" s="17" t="str">
        <f>IF(Entradas[[#This Row],[Proveedor (código)]]="","",VLOOKUP(Entradas[[#This Row],[Proveedor (código)]],Proveedores[[#All],[Código]:[Nombre fiscal]],2,FALSE))</f>
        <v>Metro B.A</v>
      </c>
      <c r="E118" s="29" t="s">
        <v>753</v>
      </c>
      <c r="F118" s="17" t="str">
        <f>IF(Entradas[[#This Row],[Artículo (código)]]="","",VLOOKUP(Entradas[[#This Row],[Artículo (código)]],Existencias!A:D,4,FALSE))</f>
        <v>Azucar rubia 1kg</v>
      </c>
      <c r="G118" s="17">
        <v>1</v>
      </c>
      <c r="H118" s="57">
        <f>VLOOKUP(Entradas[[#This Row],[Artículo (código)]],Existencias!A:F,6,FALSE)*Entradas[[#This Row],[Cantidad]]</f>
        <v>3.29</v>
      </c>
      <c r="I118" s="58">
        <f>Entradas[[#This Row],[Precio POR UNIDAD]]*Entradas[[#This Row],[Cantidad]]</f>
        <v>3.29</v>
      </c>
    </row>
    <row r="119" spans="1:9" x14ac:dyDescent="0.3">
      <c r="A119" s="17"/>
      <c r="B119" s="18">
        <v>46055</v>
      </c>
      <c r="C119" s="17">
        <v>4</v>
      </c>
      <c r="D119" s="17" t="str">
        <f>IF(Entradas[[#This Row],[Proveedor (código)]]="","",VLOOKUP(Entradas[[#This Row],[Proveedor (código)]],Proveedores[[#All],[Código]:[Nombre fiscal]],2,FALSE))</f>
        <v>Metro B.A</v>
      </c>
      <c r="E119" s="29" t="s">
        <v>754</v>
      </c>
      <c r="F119" s="17" t="str">
        <f>IF(Entradas[[#This Row],[Artículo (código)]]="","",VLOOKUP(Entradas[[#This Row],[Artículo (código)]],Existencias!A:D,4,FALSE))</f>
        <v>Azucar rubia 2 kg</v>
      </c>
      <c r="G119" s="17">
        <v>2</v>
      </c>
      <c r="H119" s="57">
        <f>VLOOKUP(Entradas[[#This Row],[Artículo (código)]],Existencias!A:F,6,FALSE)*Entradas[[#This Row],[Cantidad]]</f>
        <v>11.94</v>
      </c>
      <c r="I119" s="58">
        <f>Entradas[[#This Row],[Precio POR UNIDAD]]*Entradas[[#This Row],[Cantidad]]</f>
        <v>23.88</v>
      </c>
    </row>
    <row r="120" spans="1:9" x14ac:dyDescent="0.3">
      <c r="A120" s="17"/>
      <c r="B120" s="18">
        <v>46055</v>
      </c>
      <c r="C120" s="17">
        <v>4</v>
      </c>
      <c r="D120" s="17" t="str">
        <f>IF(Entradas[[#This Row],[Proveedor (código)]]="","",VLOOKUP(Entradas[[#This Row],[Proveedor (código)]],Proveedores[[#All],[Código]:[Nombre fiscal]],2,FALSE))</f>
        <v>Metro B.A</v>
      </c>
      <c r="E120" s="29" t="s">
        <v>755</v>
      </c>
      <c r="F120" s="17" t="str">
        <f>IF(Entradas[[#This Row],[Artículo (código)]]="","",VLOOKUP(Entradas[[#This Row],[Artículo (código)]],Existencias!A:D,4,FALSE))</f>
        <v>Azucar rubia 5 kg</v>
      </c>
      <c r="G120" s="17">
        <v>1</v>
      </c>
      <c r="H120" s="57">
        <f>VLOOKUP(Entradas[[#This Row],[Artículo (código)]],Existencias!A:F,6,FALSE)*Entradas[[#This Row],[Cantidad]]</f>
        <v>15.89</v>
      </c>
      <c r="I120" s="58">
        <f>Entradas[[#This Row],[Precio POR UNIDAD]]*Entradas[[#This Row],[Cantidad]]</f>
        <v>15.89</v>
      </c>
    </row>
    <row r="121" spans="1:9" x14ac:dyDescent="0.3">
      <c r="A121" s="17"/>
      <c r="B121" s="18">
        <v>46055</v>
      </c>
      <c r="C121" s="17">
        <v>4</v>
      </c>
      <c r="D121" s="17" t="str">
        <f>IF(Entradas[[#This Row],[Proveedor (código)]]="","",VLOOKUP(Entradas[[#This Row],[Proveedor (código)]],Proveedores[[#All],[Código]:[Nombre fiscal]],2,FALSE))</f>
        <v>Metro B.A</v>
      </c>
      <c r="E121" s="29" t="s">
        <v>799</v>
      </c>
      <c r="F121" s="17" t="str">
        <f>IF(Entradas[[#This Row],[Artículo (código)]]="","",VLOOKUP(Entradas[[#This Row],[Artículo (código)]],Existencias!A:D,4,FALSE))</f>
        <v>Arroz 1 kg</v>
      </c>
      <c r="G121" s="17">
        <v>3</v>
      </c>
      <c r="H121" s="57">
        <f>VLOOKUP(Entradas[[#This Row],[Artículo (código)]],Existencias!A:F,6,FALSE)*Entradas[[#This Row],[Cantidad]]</f>
        <v>14.190000000000001</v>
      </c>
      <c r="I121" s="58">
        <f>Entradas[[#This Row],[Precio POR UNIDAD]]*Entradas[[#This Row],[Cantidad]]</f>
        <v>42.570000000000007</v>
      </c>
    </row>
    <row r="122" spans="1:9" x14ac:dyDescent="0.3">
      <c r="A122" s="17"/>
      <c r="B122" s="18">
        <v>46055</v>
      </c>
      <c r="C122" s="17">
        <v>4</v>
      </c>
      <c r="D122" s="17" t="str">
        <f>IF(Entradas[[#This Row],[Proveedor (código)]]="","",VLOOKUP(Entradas[[#This Row],[Proveedor (código)]],Proveedores[[#All],[Código]:[Nombre fiscal]],2,FALSE))</f>
        <v>Metro B.A</v>
      </c>
      <c r="E122" s="29" t="s">
        <v>694</v>
      </c>
      <c r="F122" s="17" t="str">
        <f>IF(Entradas[[#This Row],[Artículo (código)]]="","",VLOOKUP(Entradas[[#This Row],[Artículo (código)]],Existencias!A:D,4,FALSE))</f>
        <v>Aceite Vegetal 900 ml</v>
      </c>
      <c r="G122" s="17">
        <v>1</v>
      </c>
      <c r="H122" s="57">
        <f>VLOOKUP(Entradas[[#This Row],[Artículo (código)]],Existencias!A:F,6,FALSE)*Entradas[[#This Row],[Cantidad]]</f>
        <v>4.76</v>
      </c>
      <c r="I122" s="58">
        <f>Entradas[[#This Row],[Precio POR UNIDAD]]*Entradas[[#This Row],[Cantidad]]</f>
        <v>4.76</v>
      </c>
    </row>
    <row r="123" spans="1:9" x14ac:dyDescent="0.3">
      <c r="A123" s="17"/>
      <c r="B123" s="18">
        <v>46056</v>
      </c>
      <c r="C123" s="17">
        <v>6</v>
      </c>
      <c r="D123" s="17" t="str">
        <f>IF(Entradas[[#This Row],[Proveedor (código)]]="","",VLOOKUP(Entradas[[#This Row],[Proveedor (código)]],Proveedores[[#All],[Código]:[Nombre fiscal]],2,FALSE))</f>
        <v>Gloria</v>
      </c>
      <c r="E123" s="29" t="s">
        <v>1058</v>
      </c>
      <c r="F123" s="17" t="str">
        <f>IF(Entradas[[#This Row],[Artículo (código)]]="","",VLOOKUP(Entradas[[#This Row],[Artículo (código)]],Existencias!A:D,4,FALSE))</f>
        <v>Yogurt 120g bebible</v>
      </c>
      <c r="G123" s="17">
        <v>96</v>
      </c>
      <c r="H123" s="57">
        <f>VLOOKUP(Entradas[[#This Row],[Artículo (código)]],Existencias!A:F,6,FALSE)*Entradas[[#This Row],[Cantidad]]</f>
        <v>194.88</v>
      </c>
      <c r="I123" s="58">
        <f>Entradas[[#This Row],[Precio POR UNIDAD]]*Entradas[[#This Row],[Cantidad]]</f>
        <v>18708.48</v>
      </c>
    </row>
    <row r="124" spans="1:9" x14ac:dyDescent="0.3">
      <c r="A124" s="17"/>
      <c r="B124" s="18">
        <v>46056</v>
      </c>
      <c r="C124" s="17">
        <v>6</v>
      </c>
      <c r="D124" s="17" t="str">
        <f>IF(Entradas[[#This Row],[Proveedor (código)]]="","",VLOOKUP(Entradas[[#This Row],[Proveedor (código)]],Proveedores[[#All],[Código]:[Nombre fiscal]],2,FALSE))</f>
        <v>Gloria</v>
      </c>
      <c r="E124" s="29" t="s">
        <v>1256</v>
      </c>
      <c r="F124" s="17" t="str">
        <f>IF(Entradas[[#This Row],[Artículo (código)]]="","",VLOOKUP(Entradas[[#This Row],[Artículo (código)]],Existencias!A:D,4,FALSE))</f>
        <v>Mantequilla 180 gr</v>
      </c>
      <c r="G124" s="17">
        <v>48</v>
      </c>
      <c r="H124" s="57">
        <f>VLOOKUP(Entradas[[#This Row],[Artículo (código)]],Existencias!A:F,6,FALSE)*Entradas[[#This Row],[Cantidad]]</f>
        <v>0</v>
      </c>
      <c r="I124" s="58">
        <f>Entradas[[#This Row],[Precio POR UNIDAD]]*Entradas[[#This Row],[Cantidad]]</f>
        <v>0</v>
      </c>
    </row>
    <row r="125" spans="1:9" x14ac:dyDescent="0.3">
      <c r="A125" s="17"/>
      <c r="B125" s="18">
        <v>46056</v>
      </c>
      <c r="C125" s="17">
        <v>6</v>
      </c>
      <c r="D125" s="17" t="str">
        <f>IF(Entradas[[#This Row],[Proveedor (código)]]="","",VLOOKUP(Entradas[[#This Row],[Proveedor (código)]],Proveedores[[#All],[Código]:[Nombre fiscal]],2,FALSE))</f>
        <v>Gloria</v>
      </c>
      <c r="E125" s="29" t="s">
        <v>1060</v>
      </c>
      <c r="F125" s="17" t="str">
        <f>IF(Entradas[[#This Row],[Artículo (código)]]="","",VLOOKUP(Entradas[[#This Row],[Artículo (código)]],Existencias!A:D,4,FALSE))</f>
        <v>Yogurt  2lt</v>
      </c>
      <c r="G125" s="17">
        <v>18</v>
      </c>
      <c r="H125" s="57">
        <f>VLOOKUP(Entradas[[#This Row],[Artículo (código)]],Existencias!A:F,6,FALSE)*Entradas[[#This Row],[Cantidad]]</f>
        <v>0</v>
      </c>
      <c r="I125" s="58">
        <f>Entradas[[#This Row],[Precio POR UNIDAD]]*Entradas[[#This Row],[Cantidad]]</f>
        <v>0</v>
      </c>
    </row>
    <row r="126" spans="1:9" x14ac:dyDescent="0.3">
      <c r="A126" s="17"/>
      <c r="B126" s="18">
        <v>46056</v>
      </c>
      <c r="C126" s="17">
        <v>6</v>
      </c>
      <c r="D126" s="17" t="str">
        <f>IF(Entradas[[#This Row],[Proveedor (código)]]="","",VLOOKUP(Entradas[[#This Row],[Proveedor (código)]],Proveedores[[#All],[Código]:[Nombre fiscal]],2,FALSE))</f>
        <v>Gloria</v>
      </c>
      <c r="E126" s="29" t="s">
        <v>703</v>
      </c>
      <c r="F126" s="17" t="str">
        <f>IF(Entradas[[#This Row],[Artículo (código)]]="","",VLOOKUP(Entradas[[#This Row],[Artículo (código)]],Existencias!A:D,4,FALSE))</f>
        <v>Leche Evaporada  390 gr lata</v>
      </c>
      <c r="G126" s="17">
        <v>96</v>
      </c>
      <c r="H126" s="57">
        <f>VLOOKUP(Entradas[[#This Row],[Artículo (código)]],Existencias!A:F,6,FALSE)*Entradas[[#This Row],[Cantidad]]</f>
        <v>0</v>
      </c>
      <c r="I126" s="58">
        <f>Entradas[[#This Row],[Precio POR UNIDAD]]*Entradas[[#This Row],[Cantidad]]</f>
        <v>0</v>
      </c>
    </row>
    <row r="127" spans="1:9" x14ac:dyDescent="0.3">
      <c r="A127" s="17"/>
      <c r="B127" s="18">
        <v>46056</v>
      </c>
      <c r="C127" s="17">
        <v>6</v>
      </c>
      <c r="D127" s="17" t="str">
        <f>IF(Entradas[[#This Row],[Proveedor (código)]]="","",VLOOKUP(Entradas[[#This Row],[Proveedor (código)]],Proveedores[[#All],[Código]:[Nombre fiscal]],2,FALSE))</f>
        <v>Gloria</v>
      </c>
      <c r="E127" s="29" t="s">
        <v>887</v>
      </c>
      <c r="F127" s="17" t="str">
        <f>IF(Entradas[[#This Row],[Artículo (código)]]="","",VLOOKUP(Entradas[[#This Row],[Artículo (código)]],Existencias!A:D,4,FALSE))</f>
        <v>Trozo de atun aceite lata</v>
      </c>
      <c r="G127" s="17">
        <v>192</v>
      </c>
      <c r="H127" s="57">
        <f>VLOOKUP(Entradas[[#This Row],[Artículo (código)]],Existencias!A:F,6,FALSE)*Entradas[[#This Row],[Cantidad]]</f>
        <v>0</v>
      </c>
      <c r="I127" s="58">
        <f>Entradas[[#This Row],[Precio POR UNIDAD]]*Entradas[[#This Row],[Cantidad]]</f>
        <v>0</v>
      </c>
    </row>
    <row r="128" spans="1:9" x14ac:dyDescent="0.3">
      <c r="A128" s="17"/>
      <c r="B128" s="18">
        <v>46056</v>
      </c>
      <c r="C128" s="17">
        <v>6</v>
      </c>
      <c r="D128" s="17" t="str">
        <f>IF(Entradas[[#This Row],[Proveedor (código)]]="","",VLOOKUP(Entradas[[#This Row],[Proveedor (código)]],Proveedores[[#All],[Código]:[Nombre fiscal]],2,FALSE))</f>
        <v>Gloria</v>
      </c>
      <c r="E128" s="29" t="s">
        <v>704</v>
      </c>
      <c r="F128" s="17" t="str">
        <f>IF(Entradas[[#This Row],[Artículo (código)]]="","",VLOOKUP(Entradas[[#This Row],[Artículo (código)]],Existencias!A:D,4,FALSE))</f>
        <v>Leche Ligth 390 lata</v>
      </c>
      <c r="G128" s="17">
        <v>192</v>
      </c>
      <c r="H128" s="57">
        <f>VLOOKUP(Entradas[[#This Row],[Artículo (código)]],Existencias!A:F,6,FALSE)*Entradas[[#This Row],[Cantidad]]</f>
        <v>0</v>
      </c>
      <c r="I128" s="58">
        <f>Entradas[[#This Row],[Precio POR UNIDAD]]*Entradas[[#This Row],[Cantidad]]</f>
        <v>0</v>
      </c>
    </row>
    <row r="129" spans="1:9" x14ac:dyDescent="0.3">
      <c r="A129" s="17"/>
      <c r="B129" s="18">
        <v>46057</v>
      </c>
      <c r="C129" s="17">
        <v>4</v>
      </c>
      <c r="D129" s="17" t="str">
        <f>IF(Entradas[[#This Row],[Proveedor (código)]]="","",VLOOKUP(Entradas[[#This Row],[Proveedor (código)]],Proveedores[[#All],[Código]:[Nombre fiscal]],2,FALSE))</f>
        <v>Metro B.A</v>
      </c>
      <c r="E129" s="29" t="s">
        <v>1059</v>
      </c>
      <c r="F129" s="17" t="str">
        <f>IF(Entradas[[#This Row],[Artículo (código)]]="","",VLOOKUP(Entradas[[#This Row],[Artículo (código)]],Existencias!A:D,4,FALSE))</f>
        <v>Yogurt  1 lt</v>
      </c>
      <c r="G129" s="17">
        <v>1</v>
      </c>
      <c r="H129" s="57">
        <f>VLOOKUP(Entradas[[#This Row],[Artículo (código)]],Existencias!A:F,6,FALSE)*Entradas[[#This Row],[Cantidad]]</f>
        <v>4.57</v>
      </c>
      <c r="I129" s="58">
        <f>Entradas[[#This Row],[Precio POR UNIDAD]]*Entradas[[#This Row],[Cantidad]]</f>
        <v>4.57</v>
      </c>
    </row>
    <row r="130" spans="1:9" x14ac:dyDescent="0.3">
      <c r="A130" s="17"/>
      <c r="B130" s="18">
        <v>46057</v>
      </c>
      <c r="C130" s="17">
        <v>4</v>
      </c>
      <c r="D130" s="17" t="str">
        <f>IF(Entradas[[#This Row],[Proveedor (código)]]="","",VLOOKUP(Entradas[[#This Row],[Proveedor (código)]],Proveedores[[#All],[Código]:[Nombre fiscal]],2,FALSE))</f>
        <v>Metro B.A</v>
      </c>
      <c r="E130" s="29" t="s">
        <v>925</v>
      </c>
      <c r="F130" s="17" t="str">
        <f>IF(Entradas[[#This Row],[Artículo (código)]]="","",VLOOKUP(Entradas[[#This Row],[Artículo (código)]],Existencias!A:D,4,FALSE))</f>
        <v xml:space="preserve">Fideos chinos fritos </v>
      </c>
      <c r="G130" s="17">
        <v>6</v>
      </c>
      <c r="H130" s="57">
        <f>VLOOKUP(Entradas[[#This Row],[Artículo (código)]],Existencias!A:F,6,FALSE)*Entradas[[#This Row],[Cantidad]]</f>
        <v>38.160000000000004</v>
      </c>
      <c r="I130" s="58">
        <f>Entradas[[#This Row],[Precio POR UNIDAD]]*Entradas[[#This Row],[Cantidad]]</f>
        <v>228.96000000000004</v>
      </c>
    </row>
    <row r="131" spans="1:9" x14ac:dyDescent="0.3">
      <c r="A131" s="17"/>
      <c r="B131" s="18">
        <v>46057</v>
      </c>
      <c r="C131" s="17">
        <v>4</v>
      </c>
      <c r="D131" s="17" t="str">
        <f>IF(Entradas[[#This Row],[Proveedor (código)]]="","",VLOOKUP(Entradas[[#This Row],[Proveedor (código)]],Proveedores[[#All],[Código]:[Nombre fiscal]],2,FALSE))</f>
        <v>Metro B.A</v>
      </c>
      <c r="E131" s="29" t="s">
        <v>1034</v>
      </c>
      <c r="F131" s="17" t="str">
        <f>IF(Entradas[[#This Row],[Artículo (código)]]="","",VLOOKUP(Entradas[[#This Row],[Artículo (código)]],Existencias!A:D,4,FALSE))</f>
        <v>Ecco Cebada 250 GR</v>
      </c>
      <c r="G131" s="17">
        <v>1</v>
      </c>
      <c r="H131" s="57">
        <f>VLOOKUP(Entradas[[#This Row],[Artículo (código)]],Existencias!A:F,6,FALSE)*Entradas[[#This Row],[Cantidad]]</f>
        <v>11.95</v>
      </c>
      <c r="I131" s="58">
        <f>Entradas[[#This Row],[Precio POR UNIDAD]]*Entradas[[#This Row],[Cantidad]]</f>
        <v>11.95</v>
      </c>
    </row>
    <row r="132" spans="1:9" x14ac:dyDescent="0.3">
      <c r="A132" s="17"/>
      <c r="B132" s="18">
        <v>46057</v>
      </c>
      <c r="C132" s="17">
        <v>4</v>
      </c>
      <c r="D132" s="17" t="str">
        <f>IF(Entradas[[#This Row],[Proveedor (código)]]="","",VLOOKUP(Entradas[[#This Row],[Proveedor (código)]],Proveedores[[#All],[Código]:[Nombre fiscal]],2,FALSE))</f>
        <v>Metro B.A</v>
      </c>
      <c r="E132" s="29" t="s">
        <v>754</v>
      </c>
      <c r="F132" s="17" t="str">
        <f>IF(Entradas[[#This Row],[Artículo (código)]]="","",VLOOKUP(Entradas[[#This Row],[Artículo (código)]],Existencias!A:D,4,FALSE))</f>
        <v>Azucar rubia 2 kg</v>
      </c>
      <c r="G132" s="17">
        <v>2</v>
      </c>
      <c r="H132" s="57">
        <f>VLOOKUP(Entradas[[#This Row],[Artículo (código)]],Existencias!A:F,6,FALSE)*Entradas[[#This Row],[Cantidad]]</f>
        <v>11.94</v>
      </c>
      <c r="I132" s="58">
        <f>Entradas[[#This Row],[Precio POR UNIDAD]]*Entradas[[#This Row],[Cantidad]]</f>
        <v>23.88</v>
      </c>
    </row>
    <row r="133" spans="1:9" x14ac:dyDescent="0.3">
      <c r="A133" s="17"/>
      <c r="B133" s="18">
        <v>46057</v>
      </c>
      <c r="C133" s="17">
        <v>4</v>
      </c>
      <c r="D133" s="17" t="str">
        <f>IF(Entradas[[#This Row],[Proveedor (código)]]="","",VLOOKUP(Entradas[[#This Row],[Proveedor (código)]],Proveedores[[#All],[Código]:[Nombre fiscal]],2,FALSE))</f>
        <v>Metro B.A</v>
      </c>
      <c r="E133" s="29" t="s">
        <v>885</v>
      </c>
      <c r="F133" s="17" t="str">
        <f>IF(Entradas[[#This Row],[Artículo (código)]]="","",VLOOKUP(Entradas[[#This Row],[Artículo (código)]],Existencias!A:D,4,FALSE))</f>
        <v>Filete de atun aceite lata</v>
      </c>
      <c r="G133" s="17">
        <v>1</v>
      </c>
      <c r="H133" s="57">
        <f>VLOOKUP(Entradas[[#This Row],[Artículo (código)]],Existencias!A:F,6,FALSE)*Entradas[[#This Row],[Cantidad]]</f>
        <v>4.12</v>
      </c>
      <c r="I133" s="58">
        <f>Entradas[[#This Row],[Precio POR UNIDAD]]*Entradas[[#This Row],[Cantidad]]</f>
        <v>4.12</v>
      </c>
    </row>
    <row r="134" spans="1:9" x14ac:dyDescent="0.3">
      <c r="A134" s="17"/>
      <c r="B134" s="18">
        <v>46057</v>
      </c>
      <c r="C134" s="17">
        <v>4</v>
      </c>
      <c r="D134" s="17" t="str">
        <f>IF(Entradas[[#This Row],[Proveedor (código)]]="","",VLOOKUP(Entradas[[#This Row],[Proveedor (código)]],Proveedores[[#All],[Código]:[Nombre fiscal]],2,FALSE))</f>
        <v>Metro B.A</v>
      </c>
      <c r="E134" s="29" t="s">
        <v>755</v>
      </c>
      <c r="F134" s="17" t="str">
        <f>IF(Entradas[[#This Row],[Artículo (código)]]="","",VLOOKUP(Entradas[[#This Row],[Artículo (código)]],Existencias!A:D,4,FALSE))</f>
        <v>Azucar rubia 5 kg</v>
      </c>
      <c r="G134" s="17">
        <v>1</v>
      </c>
      <c r="H134" s="57">
        <f>VLOOKUP(Entradas[[#This Row],[Artículo (código)]],Existencias!A:F,6,FALSE)*Entradas[[#This Row],[Cantidad]]</f>
        <v>15.89</v>
      </c>
      <c r="I134" s="58">
        <f>Entradas[[#This Row],[Precio POR UNIDAD]]*Entradas[[#This Row],[Cantidad]]</f>
        <v>15.89</v>
      </c>
    </row>
    <row r="135" spans="1:9" x14ac:dyDescent="0.3">
      <c r="A135" s="17"/>
      <c r="B135" s="18">
        <v>46057</v>
      </c>
      <c r="C135" s="17">
        <v>4</v>
      </c>
      <c r="D135" s="17" t="str">
        <f>IF(Entradas[[#This Row],[Proveedor (código)]]="","",VLOOKUP(Entradas[[#This Row],[Proveedor (código)]],Proveedores[[#All],[Código]:[Nombre fiscal]],2,FALSE))</f>
        <v>Metro B.A</v>
      </c>
      <c r="E135" s="29" t="s">
        <v>753</v>
      </c>
      <c r="F135" s="17" t="str">
        <f>IF(Entradas[[#This Row],[Artículo (código)]]="","",VLOOKUP(Entradas[[#This Row],[Artículo (código)]],Existencias!A:D,4,FALSE))</f>
        <v>Azucar rubia 1kg</v>
      </c>
      <c r="G135" s="17">
        <v>4</v>
      </c>
      <c r="H135" s="57">
        <f>VLOOKUP(Entradas[[#This Row],[Artículo (código)]],Existencias!A:F,6,FALSE)*Entradas[[#This Row],[Cantidad]]</f>
        <v>13.16</v>
      </c>
      <c r="I135" s="58">
        <f>Entradas[[#This Row],[Precio POR UNIDAD]]*Entradas[[#This Row],[Cantidad]]</f>
        <v>52.64</v>
      </c>
    </row>
    <row r="136" spans="1:9" x14ac:dyDescent="0.3">
      <c r="A136" s="17"/>
      <c r="B136" s="18">
        <v>46057</v>
      </c>
      <c r="C136" s="17">
        <v>4</v>
      </c>
      <c r="D136" s="17" t="str">
        <f>IF(Entradas[[#This Row],[Proveedor (código)]]="","",VLOOKUP(Entradas[[#This Row],[Proveedor (código)]],Proveedores[[#All],[Código]:[Nombre fiscal]],2,FALSE))</f>
        <v>Metro B.A</v>
      </c>
      <c r="E136" s="29" t="s">
        <v>917</v>
      </c>
      <c r="F136" s="17" t="str">
        <f>IF(Entradas[[#This Row],[Artículo (código)]]="","",VLOOKUP(Entradas[[#This Row],[Artículo (código)]],Existencias!A:D,4,FALSE))</f>
        <v>Fideos largos 900 gr</v>
      </c>
      <c r="G136" s="17">
        <v>2</v>
      </c>
      <c r="H136" s="57">
        <f>VLOOKUP(Entradas[[#This Row],[Artículo (código)]],Existencias!A:F,6,FALSE)*Entradas[[#This Row],[Cantidad]]</f>
        <v>9.5</v>
      </c>
      <c r="I136" s="58">
        <f>Entradas[[#This Row],[Precio POR UNIDAD]]*Entradas[[#This Row],[Cantidad]]</f>
        <v>19</v>
      </c>
    </row>
    <row r="137" spans="1:9" x14ac:dyDescent="0.3">
      <c r="A137" s="17"/>
      <c r="B137" s="18">
        <v>46057</v>
      </c>
      <c r="C137" s="17">
        <v>4</v>
      </c>
      <c r="D137" s="17" t="str">
        <f>IF(Entradas[[#This Row],[Proveedor (código)]]="","",VLOOKUP(Entradas[[#This Row],[Proveedor (código)]],Proveedores[[#All],[Código]:[Nombre fiscal]],2,FALSE))</f>
        <v>Metro B.A</v>
      </c>
      <c r="E137" s="29" t="s">
        <v>799</v>
      </c>
      <c r="F137" s="17" t="str">
        <f>IF(Entradas[[#This Row],[Artículo (código)]]="","",VLOOKUP(Entradas[[#This Row],[Artículo (código)]],Existencias!A:D,4,FALSE))</f>
        <v>Arroz 1 kg</v>
      </c>
      <c r="G137" s="17">
        <v>3</v>
      </c>
      <c r="H137" s="57">
        <f>VLOOKUP(Entradas[[#This Row],[Artículo (código)]],Existencias!A:F,6,FALSE)*Entradas[[#This Row],[Cantidad]]</f>
        <v>14.190000000000001</v>
      </c>
      <c r="I137" s="58">
        <f>Entradas[[#This Row],[Precio POR UNIDAD]]*Entradas[[#This Row],[Cantidad]]</f>
        <v>42.570000000000007</v>
      </c>
    </row>
    <row r="138" spans="1:9" x14ac:dyDescent="0.3">
      <c r="A138" s="17"/>
      <c r="B138" s="18">
        <v>46057</v>
      </c>
      <c r="C138" s="17">
        <v>4</v>
      </c>
      <c r="D138" s="17" t="str">
        <f>IF(Entradas[[#This Row],[Proveedor (código)]]="","",VLOOKUP(Entradas[[#This Row],[Proveedor (código)]],Proveedores[[#All],[Código]:[Nombre fiscal]],2,FALSE))</f>
        <v>Metro B.A</v>
      </c>
      <c r="E138" s="29" t="s">
        <v>919</v>
      </c>
      <c r="F138" s="17" t="str">
        <f>IF(Entradas[[#This Row],[Artículo (código)]]="","",VLOOKUP(Entradas[[#This Row],[Artículo (código)]],Existencias!A:D,4,FALSE))</f>
        <v>Fideos cortos 250 gr</v>
      </c>
      <c r="G138" s="17">
        <v>2</v>
      </c>
      <c r="H138" s="57">
        <f>VLOOKUP(Entradas[[#This Row],[Artículo (código)]],Existencias!A:F,6,FALSE)*Entradas[[#This Row],[Cantidad]]</f>
        <v>5.16</v>
      </c>
      <c r="I138" s="58">
        <f>Entradas[[#This Row],[Precio POR UNIDAD]]*Entradas[[#This Row],[Cantidad]]</f>
        <v>10.32</v>
      </c>
    </row>
    <row r="139" spans="1:9" x14ac:dyDescent="0.3">
      <c r="A139" s="17"/>
      <c r="B139" s="18">
        <v>46057</v>
      </c>
      <c r="C139" s="17">
        <v>4</v>
      </c>
      <c r="D139" s="17" t="str">
        <f>IF(Entradas[[#This Row],[Proveedor (código)]]="","",VLOOKUP(Entradas[[#This Row],[Proveedor (código)]],Proveedores[[#All],[Código]:[Nombre fiscal]],2,FALSE))</f>
        <v>Metro B.A</v>
      </c>
      <c r="E139" s="29" t="s">
        <v>1201</v>
      </c>
      <c r="F139" s="17" t="str">
        <f>IF(Entradas[[#This Row],[Artículo (código)]]="","",VLOOKUP(Entradas[[#This Row],[Artículo (código)]],Existencias!A:D,4,FALSE))</f>
        <v>Lenteja BB 500 gr</v>
      </c>
      <c r="G139" s="17">
        <v>1</v>
      </c>
      <c r="H139" s="57">
        <f>VLOOKUP(Entradas[[#This Row],[Artículo (código)]],Existencias!A:F,6,FALSE)*Entradas[[#This Row],[Cantidad]]</f>
        <v>5.05</v>
      </c>
      <c r="I139" s="58">
        <f>Entradas[[#This Row],[Precio POR UNIDAD]]*Entradas[[#This Row],[Cantidad]]</f>
        <v>5.05</v>
      </c>
    </row>
    <row r="140" spans="1:9" x14ac:dyDescent="0.3">
      <c r="A140" s="17"/>
      <c r="B140" s="18">
        <v>46062</v>
      </c>
      <c r="C140" s="17">
        <v>5</v>
      </c>
      <c r="D140" s="17" t="str">
        <f>IF(Entradas[[#This Row],[Proveedor (código)]]="","",VLOOKUP(Entradas[[#This Row],[Proveedor (código)]],Proveedores[[#All],[Código]:[Nombre fiscal]],2,FALSE))</f>
        <v>Almacen Banco de Alimentos</v>
      </c>
      <c r="E140" s="29" t="s">
        <v>799</v>
      </c>
      <c r="F140" s="17" t="str">
        <f>IF(Entradas[[#This Row],[Artículo (código)]]="","",VLOOKUP(Entradas[[#This Row],[Artículo (código)]],Existencias!A:D,4,FALSE))</f>
        <v>Arroz 1 kg</v>
      </c>
      <c r="G140" s="17">
        <v>1</v>
      </c>
      <c r="H140" s="57">
        <f>VLOOKUP(Entradas[[#This Row],[Artículo (código)]],Existencias!A:F,6,FALSE)*Entradas[[#This Row],[Cantidad]]</f>
        <v>4.7300000000000004</v>
      </c>
      <c r="I140" s="58">
        <f>Entradas[[#This Row],[Precio POR UNIDAD]]*Entradas[[#This Row],[Cantidad]]</f>
        <v>4.7300000000000004</v>
      </c>
    </row>
    <row r="141" spans="1:9" x14ac:dyDescent="0.3">
      <c r="A141" s="17"/>
      <c r="B141" s="18">
        <v>46062</v>
      </c>
      <c r="C141" s="17">
        <v>5</v>
      </c>
      <c r="D141" s="17" t="str">
        <f>IF(Entradas[[#This Row],[Proveedor (código)]]="","",VLOOKUP(Entradas[[#This Row],[Proveedor (código)]],Proveedores[[#All],[Código]:[Nombre fiscal]],2,FALSE))</f>
        <v>Almacen Banco de Alimentos</v>
      </c>
      <c r="E141" s="29" t="s">
        <v>916</v>
      </c>
      <c r="F141" s="17" t="str">
        <f>IF(Entradas[[#This Row],[Artículo (código)]]="","",VLOOKUP(Entradas[[#This Row],[Artículo (código)]],Existencias!A:D,4,FALSE))</f>
        <v>Fideos largos 500 gr</v>
      </c>
      <c r="G141" s="17">
        <v>1</v>
      </c>
      <c r="H141" s="57">
        <f>VLOOKUP(Entradas[[#This Row],[Artículo (código)]],Existencias!A:F,6,FALSE)*Entradas[[#This Row],[Cantidad]]</f>
        <v>2.71</v>
      </c>
      <c r="I141" s="58">
        <f>Entradas[[#This Row],[Precio POR UNIDAD]]*Entradas[[#This Row],[Cantidad]]</f>
        <v>2.71</v>
      </c>
    </row>
    <row r="142" spans="1:9" x14ac:dyDescent="0.3">
      <c r="A142" s="17"/>
      <c r="B142" s="18">
        <v>46062</v>
      </c>
      <c r="C142" s="17">
        <v>5</v>
      </c>
      <c r="D142" s="17" t="str">
        <f>IF(Entradas[[#This Row],[Proveedor (código)]]="","",VLOOKUP(Entradas[[#This Row],[Proveedor (código)]],Proveedores[[#All],[Código]:[Nombre fiscal]],2,FALSE))</f>
        <v>Almacen Banco de Alimentos</v>
      </c>
      <c r="E142" s="29" t="s">
        <v>1307</v>
      </c>
      <c r="F142" s="17" t="str">
        <f>IF(Entradas[[#This Row],[Artículo (código)]]="","",VLOOKUP(Entradas[[#This Row],[Artículo (código)]],Existencias!A:D,4,FALSE))</f>
        <v>Bisteck</v>
      </c>
      <c r="G142" s="17">
        <v>1</v>
      </c>
      <c r="H142" s="57">
        <f>VLOOKUP(Entradas[[#This Row],[Artículo (código)]],Existencias!A:F,6,FALSE)*Entradas[[#This Row],[Cantidad]]</f>
        <v>1</v>
      </c>
      <c r="I142" s="58">
        <f>Entradas[[#This Row],[Precio POR UNIDAD]]*Entradas[[#This Row],[Cantidad]]</f>
        <v>1</v>
      </c>
    </row>
    <row r="143" spans="1:9" x14ac:dyDescent="0.3">
      <c r="A143" s="17"/>
      <c r="B143" s="18">
        <v>46062</v>
      </c>
      <c r="C143" s="17">
        <v>5</v>
      </c>
      <c r="D143" s="17" t="str">
        <f>IF(Entradas[[#This Row],[Proveedor (código)]]="","",VLOOKUP(Entradas[[#This Row],[Proveedor (código)]],Proveedores[[#All],[Código]:[Nombre fiscal]],2,FALSE))</f>
        <v>Almacen Banco de Alimentos</v>
      </c>
      <c r="E143" s="29" t="s">
        <v>725</v>
      </c>
      <c r="F143" s="17" t="str">
        <f>IF(Entradas[[#This Row],[Artículo (código)]]="","",VLOOKUP(Entradas[[#This Row],[Artículo (código)]],Existencias!A:D,4,FALSE))</f>
        <v>Pollo pechuga bandeja</v>
      </c>
      <c r="G143" s="17">
        <v>1</v>
      </c>
      <c r="H143" s="57">
        <f>VLOOKUP(Entradas[[#This Row],[Artículo (código)]],Existencias!A:F,6,FALSE)*Entradas[[#This Row],[Cantidad]]</f>
        <v>0</v>
      </c>
      <c r="I143" s="58">
        <f>Entradas[[#This Row],[Precio POR UNIDAD]]*Entradas[[#This Row],[Cantidad]]</f>
        <v>0</v>
      </c>
    </row>
    <row r="144" spans="1:9" x14ac:dyDescent="0.3">
      <c r="A144" s="17"/>
      <c r="B144" s="18">
        <v>46062</v>
      </c>
      <c r="C144" s="17">
        <v>5</v>
      </c>
      <c r="D144" s="17" t="str">
        <f>IF(Entradas[[#This Row],[Proveedor (código)]]="","",VLOOKUP(Entradas[[#This Row],[Proveedor (código)]],Proveedores[[#All],[Código]:[Nombre fiscal]],2,FALSE))</f>
        <v>Almacen Banco de Alimentos</v>
      </c>
      <c r="E144" s="29" t="s">
        <v>773</v>
      </c>
      <c r="F144" s="17" t="str">
        <f>IF(Entradas[[#This Row],[Artículo (código)]]="","",VLOOKUP(Entradas[[#This Row],[Artículo (código)]],Existencias!A:D,4,FALSE))</f>
        <v>Panceta con hueso</v>
      </c>
      <c r="G144" s="17">
        <v>1</v>
      </c>
      <c r="H144" s="57">
        <f>VLOOKUP(Entradas[[#This Row],[Artículo (código)]],Existencias!A:F,6,FALSE)*Entradas[[#This Row],[Cantidad]]</f>
        <v>0</v>
      </c>
      <c r="I144" s="58">
        <f>Entradas[[#This Row],[Precio POR UNIDAD]]*Entradas[[#This Row],[Cantidad]]</f>
        <v>0</v>
      </c>
    </row>
    <row r="145" spans="1:9" x14ac:dyDescent="0.3">
      <c r="A145" s="17"/>
      <c r="B145" s="18">
        <v>46062</v>
      </c>
      <c r="C145" s="17">
        <v>4</v>
      </c>
      <c r="D145" s="17" t="str">
        <f>IF(Entradas[[#This Row],[Proveedor (código)]]="","",VLOOKUP(Entradas[[#This Row],[Proveedor (código)]],Proveedores[[#All],[Código]:[Nombre fiscal]],2,FALSE))</f>
        <v>Metro B.A</v>
      </c>
      <c r="E145" s="29" t="s">
        <v>733</v>
      </c>
      <c r="F145" s="17" t="str">
        <f>IF(Entradas[[#This Row],[Artículo (código)]]="","",VLOOKUP(Entradas[[#This Row],[Artículo (código)]],Existencias!A:D,4,FALSE))</f>
        <v>Alas con sabor</v>
      </c>
      <c r="G145" s="17">
        <v>1</v>
      </c>
      <c r="H145" s="57">
        <f>VLOOKUP(Entradas[[#This Row],[Artículo (código)]],Existencias!A:F,6,FALSE)*Entradas[[#This Row],[Cantidad]]</f>
        <v>18.149999999999999</v>
      </c>
      <c r="I145" s="58">
        <f>Entradas[[#This Row],[Precio POR UNIDAD]]*Entradas[[#This Row],[Cantidad]]</f>
        <v>18.149999999999999</v>
      </c>
    </row>
    <row r="146" spans="1:9" x14ac:dyDescent="0.3">
      <c r="A146" s="17"/>
      <c r="B146" s="18">
        <v>46062</v>
      </c>
      <c r="C146" s="17">
        <v>4</v>
      </c>
      <c r="D146" s="17" t="str">
        <f>IF(Entradas[[#This Row],[Proveedor (código)]]="","",VLOOKUP(Entradas[[#This Row],[Proveedor (código)]],Proveedores[[#All],[Código]:[Nombre fiscal]],2,FALSE))</f>
        <v>Metro B.A</v>
      </c>
      <c r="E146" s="29" t="s">
        <v>743</v>
      </c>
      <c r="F146" s="17" t="str">
        <f>IF(Entradas[[#This Row],[Artículo (código)]]="","",VLOOKUP(Entradas[[#This Row],[Artículo (código)]],Existencias!A:D,4,FALSE))</f>
        <v>Muslo de pello</v>
      </c>
      <c r="G146" s="17">
        <v>1</v>
      </c>
      <c r="H146" s="57">
        <f>VLOOKUP(Entradas[[#This Row],[Artículo (código)]],Existencias!A:F,6,FALSE)*Entradas[[#This Row],[Cantidad]]</f>
        <v>12.63</v>
      </c>
      <c r="I146" s="58">
        <f>Entradas[[#This Row],[Precio POR UNIDAD]]*Entradas[[#This Row],[Cantidad]]</f>
        <v>12.63</v>
      </c>
    </row>
    <row r="147" spans="1:9" x14ac:dyDescent="0.3">
      <c r="A147" s="17"/>
      <c r="B147" s="18">
        <v>46062</v>
      </c>
      <c r="C147" s="17">
        <v>4</v>
      </c>
      <c r="D147" s="17" t="str">
        <f>IF(Entradas[[#This Row],[Proveedor (código)]]="","",VLOOKUP(Entradas[[#This Row],[Proveedor (código)]],Proveedores[[#All],[Código]:[Nombre fiscal]],2,FALSE))</f>
        <v>Metro B.A</v>
      </c>
      <c r="E147" s="29" t="s">
        <v>917</v>
      </c>
      <c r="F147" s="17" t="str">
        <f>IF(Entradas[[#This Row],[Artículo (código)]]="","",VLOOKUP(Entradas[[#This Row],[Artículo (código)]],Existencias!A:D,4,FALSE))</f>
        <v>Fideos largos 900 gr</v>
      </c>
      <c r="G147" s="17">
        <v>1</v>
      </c>
      <c r="H147" s="57">
        <f>VLOOKUP(Entradas[[#This Row],[Artículo (código)]],Existencias!A:F,6,FALSE)*Entradas[[#This Row],[Cantidad]]</f>
        <v>4.75</v>
      </c>
      <c r="I147" s="58">
        <f>Entradas[[#This Row],[Precio POR UNIDAD]]*Entradas[[#This Row],[Cantidad]]</f>
        <v>4.75</v>
      </c>
    </row>
    <row r="148" spans="1:9" x14ac:dyDescent="0.3">
      <c r="A148" s="17"/>
      <c r="B148" s="18">
        <v>46062</v>
      </c>
      <c r="C148" s="17">
        <v>4</v>
      </c>
      <c r="D148" s="17" t="str">
        <f>IF(Entradas[[#This Row],[Proveedor (código)]]="","",VLOOKUP(Entradas[[#This Row],[Proveedor (código)]],Proveedores[[#All],[Código]:[Nombre fiscal]],2,FALSE))</f>
        <v>Metro B.A</v>
      </c>
      <c r="E148" s="29" t="s">
        <v>709</v>
      </c>
      <c r="F148" s="17" t="str">
        <f>IF(Entradas[[#This Row],[Artículo (código)]]="","",VLOOKUP(Entradas[[#This Row],[Artículo (código)]],Existencias!A:D,4,FALSE))</f>
        <v>Sal Mesa 1kg</v>
      </c>
      <c r="G148" s="17">
        <v>1</v>
      </c>
      <c r="H148" s="57">
        <f>VLOOKUP(Entradas[[#This Row],[Artículo (código)]],Existencias!A:F,6,FALSE)*Entradas[[#This Row],[Cantidad]]</f>
        <v>1.67</v>
      </c>
      <c r="I148" s="58">
        <f>Entradas[[#This Row],[Precio POR UNIDAD]]*Entradas[[#This Row],[Cantidad]]</f>
        <v>1.67</v>
      </c>
    </row>
    <row r="149" spans="1:9" x14ac:dyDescent="0.3">
      <c r="A149" s="17"/>
      <c r="B149" s="18">
        <v>46062</v>
      </c>
      <c r="C149" s="17">
        <v>4</v>
      </c>
      <c r="D149" s="17" t="str">
        <f>IF(Entradas[[#This Row],[Proveedor (código)]]="","",VLOOKUP(Entradas[[#This Row],[Proveedor (código)]],Proveedores[[#All],[Código]:[Nombre fiscal]],2,FALSE))</f>
        <v>Metro B.A</v>
      </c>
      <c r="E149" s="29" t="s">
        <v>919</v>
      </c>
      <c r="F149" s="17" t="str">
        <f>IF(Entradas[[#This Row],[Artículo (código)]]="","",VLOOKUP(Entradas[[#This Row],[Artículo (código)]],Existencias!A:D,4,FALSE))</f>
        <v>Fideos cortos 250 gr</v>
      </c>
      <c r="G149" s="17">
        <v>5</v>
      </c>
      <c r="H149" s="57">
        <f>VLOOKUP(Entradas[[#This Row],[Artículo (código)]],Existencias!A:F,6,FALSE)*Entradas[[#This Row],[Cantidad]]</f>
        <v>12.9</v>
      </c>
      <c r="I149" s="58">
        <f>Entradas[[#This Row],[Precio POR UNIDAD]]*Entradas[[#This Row],[Cantidad]]</f>
        <v>64.5</v>
      </c>
    </row>
    <row r="150" spans="1:9" x14ac:dyDescent="0.3">
      <c r="A150" s="17"/>
      <c r="B150" s="18">
        <v>46062</v>
      </c>
      <c r="C150" s="17">
        <v>4</v>
      </c>
      <c r="D150" s="17" t="str">
        <f>IF(Entradas[[#This Row],[Proveedor (código)]]="","",VLOOKUP(Entradas[[#This Row],[Proveedor (código)]],Proveedores[[#All],[Código]:[Nombre fiscal]],2,FALSE))</f>
        <v>Metro B.A</v>
      </c>
      <c r="E150" s="29" t="s">
        <v>753</v>
      </c>
      <c r="F150" s="17" t="str">
        <f>IF(Entradas[[#This Row],[Artículo (código)]]="","",VLOOKUP(Entradas[[#This Row],[Artículo (código)]],Existencias!A:D,4,FALSE))</f>
        <v>Azucar rubia 1kg</v>
      </c>
      <c r="G150" s="17">
        <v>4</v>
      </c>
      <c r="H150" s="57">
        <f>VLOOKUP(Entradas[[#This Row],[Artículo (código)]],Existencias!A:F,6,FALSE)*Entradas[[#This Row],[Cantidad]]</f>
        <v>13.16</v>
      </c>
      <c r="I150" s="58">
        <f>Entradas[[#This Row],[Precio POR UNIDAD]]*Entradas[[#This Row],[Cantidad]]</f>
        <v>52.64</v>
      </c>
    </row>
    <row r="151" spans="1:9" x14ac:dyDescent="0.3">
      <c r="A151" s="17"/>
      <c r="B151" s="18">
        <v>46062</v>
      </c>
      <c r="C151" s="17">
        <v>4</v>
      </c>
      <c r="D151" s="17" t="str">
        <f>IF(Entradas[[#This Row],[Proveedor (código)]]="","",VLOOKUP(Entradas[[#This Row],[Proveedor (código)]],Proveedores[[#All],[Código]:[Nombre fiscal]],2,FALSE))</f>
        <v>Metro B.A</v>
      </c>
      <c r="E151" s="29" t="s">
        <v>1201</v>
      </c>
      <c r="F151" s="17" t="str">
        <f>IF(Entradas[[#This Row],[Artículo (código)]]="","",VLOOKUP(Entradas[[#This Row],[Artículo (código)]],Existencias!A:D,4,FALSE))</f>
        <v>Lenteja BB 500 gr</v>
      </c>
      <c r="G151" s="17">
        <v>1</v>
      </c>
      <c r="H151" s="57">
        <f>VLOOKUP(Entradas[[#This Row],[Artículo (código)]],Existencias!A:F,6,FALSE)*Entradas[[#This Row],[Cantidad]]</f>
        <v>5.05</v>
      </c>
      <c r="I151" s="58">
        <f>Entradas[[#This Row],[Precio POR UNIDAD]]*Entradas[[#This Row],[Cantidad]]</f>
        <v>5.05</v>
      </c>
    </row>
    <row r="152" spans="1:9" x14ac:dyDescent="0.3">
      <c r="A152" s="17"/>
      <c r="B152" s="18">
        <v>46062</v>
      </c>
      <c r="C152" s="17">
        <v>4</v>
      </c>
      <c r="D152" s="17" t="str">
        <f>IF(Entradas[[#This Row],[Proveedor (código)]]="","",VLOOKUP(Entradas[[#This Row],[Proveedor (código)]],Proveedores[[#All],[Código]:[Nombre fiscal]],2,FALSE))</f>
        <v>Metro B.A</v>
      </c>
      <c r="E152" s="29" t="s">
        <v>962</v>
      </c>
      <c r="F152" s="17" t="str">
        <f>IF(Entradas[[#This Row],[Artículo (código)]]="","",VLOOKUP(Entradas[[#This Row],[Artículo (código)]],Existencias!A:D,4,FALSE))</f>
        <v>Harina s/preparar 1kg</v>
      </c>
      <c r="G152" s="17">
        <v>1</v>
      </c>
      <c r="H152" s="57">
        <f>VLOOKUP(Entradas[[#This Row],[Artículo (código)]],Existencias!A:F,6,FALSE)*Entradas[[#This Row],[Cantidad]]</f>
        <v>3.52</v>
      </c>
      <c r="I152" s="58">
        <f>Entradas[[#This Row],[Precio POR UNIDAD]]*Entradas[[#This Row],[Cantidad]]</f>
        <v>3.52</v>
      </c>
    </row>
    <row r="153" spans="1:9" x14ac:dyDescent="0.3">
      <c r="A153" s="17"/>
      <c r="B153" s="18">
        <v>46062</v>
      </c>
      <c r="C153" s="17">
        <v>4</v>
      </c>
      <c r="D153" s="17" t="str">
        <f>IF(Entradas[[#This Row],[Proveedor (código)]]="","",VLOOKUP(Entradas[[#This Row],[Proveedor (código)]],Proveedores[[#All],[Código]:[Nombre fiscal]],2,FALSE))</f>
        <v>Metro B.A</v>
      </c>
      <c r="E153" s="29" t="s">
        <v>896</v>
      </c>
      <c r="F153" s="17" t="str">
        <f>IF(Entradas[[#This Row],[Artículo (código)]]="","",VLOOKUP(Entradas[[#This Row],[Artículo (código)]],Existencias!A:D,4,FALSE))</f>
        <v>Duraznos en mitades 820 gr</v>
      </c>
      <c r="G153" s="17">
        <v>1</v>
      </c>
      <c r="H153" s="57">
        <f>VLOOKUP(Entradas[[#This Row],[Artículo (código)]],Existencias!A:F,6,FALSE)*Entradas[[#This Row],[Cantidad]]</f>
        <v>8.73</v>
      </c>
      <c r="I153" s="58">
        <f>Entradas[[#This Row],[Precio POR UNIDAD]]*Entradas[[#This Row],[Cantidad]]</f>
        <v>8.73</v>
      </c>
    </row>
    <row r="154" spans="1:9" x14ac:dyDescent="0.3">
      <c r="A154" s="17"/>
      <c r="B154" s="18">
        <v>46062</v>
      </c>
      <c r="C154" s="17">
        <v>4</v>
      </c>
      <c r="D154" s="17" t="str">
        <f>IF(Entradas[[#This Row],[Proveedor (código)]]="","",VLOOKUP(Entradas[[#This Row],[Proveedor (código)]],Proveedores[[#All],[Código]:[Nombre fiscal]],2,FALSE))</f>
        <v>Metro B.A</v>
      </c>
      <c r="E154" s="31" t="s">
        <v>1358</v>
      </c>
      <c r="F154" s="17" t="str">
        <f>IF(Entradas[[#This Row],[Artículo (código)]]="","",VLOOKUP(Entradas[[#This Row],[Artículo (código)]],Existencias!A:D,4,FALSE))</f>
        <v>Hot dog de pollo x 250 gr</v>
      </c>
      <c r="G154" s="17">
        <v>2</v>
      </c>
      <c r="H154" s="57">
        <f>VLOOKUP(Entradas[[#This Row],[Artículo (código)]],Existencias!A:F,6,FALSE)*Entradas[[#This Row],[Cantidad]]</f>
        <v>10.08</v>
      </c>
      <c r="I154" s="58">
        <f>Entradas[[#This Row],[Precio POR UNIDAD]]*Entradas[[#This Row],[Cantidad]]</f>
        <v>20.16</v>
      </c>
    </row>
    <row r="155" spans="1:9" x14ac:dyDescent="0.3">
      <c r="A155" s="17"/>
      <c r="B155" s="18">
        <v>46062</v>
      </c>
      <c r="C155" s="17">
        <v>4</v>
      </c>
      <c r="D155" s="17" t="str">
        <f>IF(Entradas[[#This Row],[Proveedor (código)]]="","",VLOOKUP(Entradas[[#This Row],[Proveedor (código)]],Proveedores[[#All],[Código]:[Nombre fiscal]],2,FALSE))</f>
        <v>Metro B.A</v>
      </c>
      <c r="E155" s="29" t="s">
        <v>1219</v>
      </c>
      <c r="F155" s="17" t="str">
        <f>IF(Entradas[[#This Row],[Artículo (código)]]="","",VLOOKUP(Entradas[[#This Row],[Artículo (código)]],Existencias!A:D,4,FALSE))</f>
        <v>Papa Seca 500 gr</v>
      </c>
      <c r="G155" s="17">
        <v>1</v>
      </c>
      <c r="H155" s="57">
        <f>VLOOKUP(Entradas[[#This Row],[Artículo (código)]],Existencias!A:F,6,FALSE)*Entradas[[#This Row],[Cantidad]]</f>
        <v>5.79</v>
      </c>
      <c r="I155" s="58">
        <f>Entradas[[#This Row],[Precio POR UNIDAD]]*Entradas[[#This Row],[Cantidad]]</f>
        <v>5.79</v>
      </c>
    </row>
    <row r="156" spans="1:9" x14ac:dyDescent="0.3">
      <c r="A156" s="17"/>
      <c r="B156" s="18">
        <v>46064</v>
      </c>
      <c r="C156" s="17">
        <v>4</v>
      </c>
      <c r="D156" s="17" t="str">
        <f>IF(Entradas[[#This Row],[Proveedor (código)]]="","",VLOOKUP(Entradas[[#This Row],[Proveedor (código)]],Proveedores[[#All],[Código]:[Nombre fiscal]],2,FALSE))</f>
        <v>Metro B.A</v>
      </c>
      <c r="E156" s="29" t="s">
        <v>733</v>
      </c>
      <c r="F156" s="17" t="str">
        <f>IF(Entradas[[#This Row],[Artículo (código)]]="","",VLOOKUP(Entradas[[#This Row],[Artículo (código)]],Existencias!A:D,4,FALSE))</f>
        <v>Alas con sabor</v>
      </c>
      <c r="G156" s="17">
        <v>1</v>
      </c>
      <c r="H156" s="57">
        <f>VLOOKUP(Entradas[[#This Row],[Artículo (código)]],Existencias!A:F,6,FALSE)*Entradas[[#This Row],[Cantidad]]</f>
        <v>18.149999999999999</v>
      </c>
      <c r="I156" s="58">
        <f>Entradas[[#This Row],[Precio POR UNIDAD]]*Entradas[[#This Row],[Cantidad]]</f>
        <v>18.149999999999999</v>
      </c>
    </row>
    <row r="157" spans="1:9" x14ac:dyDescent="0.3">
      <c r="A157" s="17"/>
      <c r="B157" s="18">
        <v>46064</v>
      </c>
      <c r="C157" s="17">
        <v>4</v>
      </c>
      <c r="D157" s="17" t="str">
        <f>IF(Entradas[[#This Row],[Proveedor (código)]]="","",VLOOKUP(Entradas[[#This Row],[Proveedor (código)]],Proveedores[[#All],[Código]:[Nombre fiscal]],2,FALSE))</f>
        <v>Metro B.A</v>
      </c>
      <c r="E157" s="29" t="s">
        <v>801</v>
      </c>
      <c r="F157" s="17" t="str">
        <f>IF(Entradas[[#This Row],[Artículo (código)]]="","",VLOOKUP(Entradas[[#This Row],[Artículo (código)]],Existencias!A:D,4,FALSE))</f>
        <v>Arroz 10 kg</v>
      </c>
      <c r="G157" s="17">
        <v>1</v>
      </c>
      <c r="H157" s="57">
        <f>VLOOKUP(Entradas[[#This Row],[Artículo (código)]],Existencias!A:F,6,FALSE)*Entradas[[#This Row],[Cantidad]]</f>
        <v>46</v>
      </c>
      <c r="I157" s="58">
        <f>Entradas[[#This Row],[Precio POR UNIDAD]]*Entradas[[#This Row],[Cantidad]]</f>
        <v>46</v>
      </c>
    </row>
    <row r="158" spans="1:9" x14ac:dyDescent="0.3">
      <c r="A158" s="17"/>
      <c r="B158" s="18">
        <v>46064</v>
      </c>
      <c r="C158" s="17">
        <v>4</v>
      </c>
      <c r="D158" s="17" t="str">
        <f>IF(Entradas[[#This Row],[Proveedor (código)]]="","",VLOOKUP(Entradas[[#This Row],[Proveedor (código)]],Proveedores[[#All],[Código]:[Nombre fiscal]],2,FALSE))</f>
        <v>Metro B.A</v>
      </c>
      <c r="E158" s="29" t="s">
        <v>917</v>
      </c>
      <c r="F158" s="17" t="str">
        <f>IF(Entradas[[#This Row],[Artículo (código)]]="","",VLOOKUP(Entradas[[#This Row],[Artículo (código)]],Existencias!A:D,4,FALSE))</f>
        <v>Fideos largos 900 gr</v>
      </c>
      <c r="G158" s="17">
        <v>2</v>
      </c>
      <c r="H158" s="57">
        <f>VLOOKUP(Entradas[[#This Row],[Artículo (código)]],Existencias!A:F,6,FALSE)*Entradas[[#This Row],[Cantidad]]</f>
        <v>9.5</v>
      </c>
      <c r="I158" s="58">
        <f>Entradas[[#This Row],[Precio POR UNIDAD]]*Entradas[[#This Row],[Cantidad]]</f>
        <v>19</v>
      </c>
    </row>
    <row r="159" spans="1:9" x14ac:dyDescent="0.3">
      <c r="A159" s="17"/>
      <c r="B159" s="18">
        <v>46064</v>
      </c>
      <c r="C159" s="17">
        <v>4</v>
      </c>
      <c r="D159" s="17" t="str">
        <f>IF(Entradas[[#This Row],[Proveedor (código)]]="","",VLOOKUP(Entradas[[#This Row],[Proveedor (código)]],Proveedores[[#All],[Código]:[Nombre fiscal]],2,FALSE))</f>
        <v>Metro B.A</v>
      </c>
      <c r="E159" s="29" t="s">
        <v>919</v>
      </c>
      <c r="F159" s="17" t="str">
        <f>IF(Entradas[[#This Row],[Artículo (código)]]="","",VLOOKUP(Entradas[[#This Row],[Artículo (código)]],Existencias!A:D,4,FALSE))</f>
        <v>Fideos cortos 250 gr</v>
      </c>
      <c r="G159" s="17">
        <v>1</v>
      </c>
      <c r="H159" s="57">
        <f>VLOOKUP(Entradas[[#This Row],[Artículo (código)]],Existencias!A:F,6,FALSE)*Entradas[[#This Row],[Cantidad]]</f>
        <v>2.58</v>
      </c>
      <c r="I159" s="58">
        <f>Entradas[[#This Row],[Precio POR UNIDAD]]*Entradas[[#This Row],[Cantidad]]</f>
        <v>2.58</v>
      </c>
    </row>
    <row r="160" spans="1:9" x14ac:dyDescent="0.3">
      <c r="A160" s="17"/>
      <c r="B160" s="18">
        <v>46064</v>
      </c>
      <c r="C160" s="17">
        <v>4</v>
      </c>
      <c r="D160" s="17" t="str">
        <f>IF(Entradas[[#This Row],[Proveedor (código)]]="","",VLOOKUP(Entradas[[#This Row],[Proveedor (código)]],Proveedores[[#All],[Código]:[Nombre fiscal]],2,FALSE))</f>
        <v>Metro B.A</v>
      </c>
      <c r="E160" s="29" t="s">
        <v>800</v>
      </c>
      <c r="F160" s="17" t="str">
        <f>IF(Entradas[[#This Row],[Artículo (código)]]="","",VLOOKUP(Entradas[[#This Row],[Artículo (código)]],Existencias!A:D,4,FALSE))</f>
        <v xml:space="preserve">Arroz 5 kg </v>
      </c>
      <c r="G160" s="17">
        <v>1</v>
      </c>
      <c r="H160" s="57">
        <f>VLOOKUP(Entradas[[#This Row],[Artículo (código)]],Existencias!A:F,6,FALSE)*Entradas[[#This Row],[Cantidad]]</f>
        <v>24.95</v>
      </c>
      <c r="I160" s="58">
        <f>Entradas[[#This Row],[Precio POR UNIDAD]]*Entradas[[#This Row],[Cantidad]]</f>
        <v>24.95</v>
      </c>
    </row>
    <row r="161" spans="1:9" x14ac:dyDescent="0.3">
      <c r="A161" s="17"/>
      <c r="B161" s="18">
        <v>46064</v>
      </c>
      <c r="C161" s="17">
        <v>4</v>
      </c>
      <c r="D161" s="17" t="str">
        <f>IF(Entradas[[#This Row],[Proveedor (código)]]="","",VLOOKUP(Entradas[[#This Row],[Proveedor (código)]],Proveedores[[#All],[Código]:[Nombre fiscal]],2,FALSE))</f>
        <v>Metro B.A</v>
      </c>
      <c r="E161" s="29" t="s">
        <v>799</v>
      </c>
      <c r="F161" s="17" t="str">
        <f>IF(Entradas[[#This Row],[Artículo (código)]]="","",VLOOKUP(Entradas[[#This Row],[Artículo (código)]],Existencias!A:D,4,FALSE))</f>
        <v>Arroz 1 kg</v>
      </c>
      <c r="G161" s="17">
        <v>2</v>
      </c>
      <c r="H161" s="57">
        <f>VLOOKUP(Entradas[[#This Row],[Artículo (código)]],Existencias!A:F,6,FALSE)*Entradas[[#This Row],[Cantidad]]</f>
        <v>9.4600000000000009</v>
      </c>
      <c r="I161" s="58">
        <f>Entradas[[#This Row],[Precio POR UNIDAD]]*Entradas[[#This Row],[Cantidad]]</f>
        <v>18.920000000000002</v>
      </c>
    </row>
    <row r="162" spans="1:9" x14ac:dyDescent="0.3">
      <c r="A162" s="17"/>
      <c r="B162" s="18">
        <v>46064</v>
      </c>
      <c r="C162" s="17">
        <v>4</v>
      </c>
      <c r="D162" s="17" t="str">
        <f>IF(Entradas[[#This Row],[Proveedor (código)]]="","",VLOOKUP(Entradas[[#This Row],[Proveedor (código)]],Proveedores[[#All],[Código]:[Nombre fiscal]],2,FALSE))</f>
        <v>Metro B.A</v>
      </c>
      <c r="E162" s="29" t="s">
        <v>693</v>
      </c>
      <c r="F162" s="17" t="str">
        <f>IF(Entradas[[#This Row],[Artículo (código)]]="","",VLOOKUP(Entradas[[#This Row],[Artículo (código)]],Existencias!A:D,4,FALSE))</f>
        <v>Arverja partida 500 gr</v>
      </c>
      <c r="G162" s="17">
        <v>1</v>
      </c>
      <c r="H162" s="57">
        <f>VLOOKUP(Entradas[[#This Row],[Artículo (código)]],Existencias!A:F,6,FALSE)*Entradas[[#This Row],[Cantidad]]</f>
        <v>3.9</v>
      </c>
      <c r="I162" s="58">
        <f>Entradas[[#This Row],[Precio POR UNIDAD]]*Entradas[[#This Row],[Cantidad]]</f>
        <v>3.9</v>
      </c>
    </row>
    <row r="163" spans="1:9" x14ac:dyDescent="0.3">
      <c r="A163" s="17"/>
      <c r="B163" s="18">
        <v>46064</v>
      </c>
      <c r="C163" s="17">
        <v>4</v>
      </c>
      <c r="D163" s="17" t="str">
        <f>IF(Entradas[[#This Row],[Proveedor (código)]]="","",VLOOKUP(Entradas[[#This Row],[Proveedor (código)]],Proveedores[[#All],[Código]:[Nombre fiscal]],2,FALSE))</f>
        <v>Metro B.A</v>
      </c>
      <c r="E163" s="29" t="s">
        <v>1058</v>
      </c>
      <c r="F163" s="17" t="str">
        <f>IF(Entradas[[#This Row],[Artículo (código)]]="","",VLOOKUP(Entradas[[#This Row],[Artículo (código)]],Existencias!A:D,4,FALSE))</f>
        <v>Yogurt 120g bebible</v>
      </c>
      <c r="G163" s="17">
        <v>5</v>
      </c>
      <c r="H163" s="57">
        <f>VLOOKUP(Entradas[[#This Row],[Artículo (código)]],Existencias!A:F,6,FALSE)*Entradas[[#This Row],[Cantidad]]</f>
        <v>10.149999999999999</v>
      </c>
      <c r="I163" s="58">
        <f>Entradas[[#This Row],[Precio POR UNIDAD]]*Entradas[[#This Row],[Cantidad]]</f>
        <v>50.749999999999993</v>
      </c>
    </row>
    <row r="164" spans="1:9" x14ac:dyDescent="0.3">
      <c r="A164" s="17"/>
      <c r="B164" s="18">
        <v>46069</v>
      </c>
      <c r="C164" s="17">
        <v>4</v>
      </c>
      <c r="D164" s="17" t="str">
        <f>IF(Entradas[[#This Row],[Proveedor (código)]]="","",VLOOKUP(Entradas[[#This Row],[Proveedor (código)]],Proveedores[[#All],[Código]:[Nombre fiscal]],2,FALSE))</f>
        <v>Metro B.A</v>
      </c>
      <c r="E164" s="29" t="s">
        <v>800</v>
      </c>
      <c r="F164" s="17" t="str">
        <f>IF(Entradas[[#This Row],[Artículo (código)]]="","",VLOOKUP(Entradas[[#This Row],[Artículo (código)]],Existencias!A:D,4,FALSE))</f>
        <v xml:space="preserve">Arroz 5 kg </v>
      </c>
      <c r="G164" s="17">
        <v>1</v>
      </c>
      <c r="H164" s="57">
        <f>VLOOKUP(Entradas[[#This Row],[Artículo (código)]],Existencias!A:F,6,FALSE)*Entradas[[#This Row],[Cantidad]]</f>
        <v>24.95</v>
      </c>
      <c r="I164" s="58">
        <f>Entradas[[#This Row],[Precio POR UNIDAD]]*Entradas[[#This Row],[Cantidad]]</f>
        <v>24.95</v>
      </c>
    </row>
    <row r="165" spans="1:9" x14ac:dyDescent="0.3">
      <c r="A165" s="17"/>
      <c r="B165" s="18">
        <v>46069</v>
      </c>
      <c r="C165" s="17">
        <v>4</v>
      </c>
      <c r="D165" s="17" t="str">
        <f>IF(Entradas[[#This Row],[Proveedor (código)]]="","",VLOOKUP(Entradas[[#This Row],[Proveedor (código)]],Proveedores[[#All],[Código]:[Nombre fiscal]],2,FALSE))</f>
        <v>Metro B.A</v>
      </c>
      <c r="E165" s="29" t="s">
        <v>956</v>
      </c>
      <c r="F165" s="17" t="str">
        <f>IF(Entradas[[#This Row],[Artículo (código)]]="","",VLOOKUP(Entradas[[#This Row],[Artículo (código)]],Existencias!A:D,4,FALSE))</f>
        <v xml:space="preserve">Chocolate de Taza </v>
      </c>
      <c r="G165" s="17">
        <v>1</v>
      </c>
      <c r="H165" s="57">
        <f>VLOOKUP(Entradas[[#This Row],[Artículo (código)]],Existencias!A:F,6,FALSE)*Entradas[[#This Row],[Cantidad]]</f>
        <v>7.6</v>
      </c>
      <c r="I165" s="58">
        <f>Entradas[[#This Row],[Precio POR UNIDAD]]*Entradas[[#This Row],[Cantidad]]</f>
        <v>7.6</v>
      </c>
    </row>
    <row r="166" spans="1:9" x14ac:dyDescent="0.3">
      <c r="A166" s="17"/>
      <c r="B166" s="18">
        <v>46069</v>
      </c>
      <c r="C166" s="17">
        <v>4</v>
      </c>
      <c r="D166" s="17" t="str">
        <f>IF(Entradas[[#This Row],[Proveedor (código)]]="","",VLOOKUP(Entradas[[#This Row],[Proveedor (código)]],Proveedores[[#All],[Código]:[Nombre fiscal]],2,FALSE))</f>
        <v>Metro B.A</v>
      </c>
      <c r="E166" s="29" t="s">
        <v>799</v>
      </c>
      <c r="F166" s="17" t="str">
        <f>IF(Entradas[[#This Row],[Artículo (código)]]="","",VLOOKUP(Entradas[[#This Row],[Artículo (código)]],Existencias!A:D,4,FALSE))</f>
        <v>Arroz 1 kg</v>
      </c>
      <c r="G166" s="17">
        <v>2</v>
      </c>
      <c r="H166" s="57">
        <f>VLOOKUP(Entradas[[#This Row],[Artículo (código)]],Existencias!A:F,6,FALSE)*Entradas[[#This Row],[Cantidad]]</f>
        <v>9.4600000000000009</v>
      </c>
      <c r="I166" s="58">
        <f>Entradas[[#This Row],[Precio POR UNIDAD]]*Entradas[[#This Row],[Cantidad]]</f>
        <v>18.920000000000002</v>
      </c>
    </row>
    <row r="167" spans="1:9" x14ac:dyDescent="0.3">
      <c r="A167" s="17"/>
      <c r="B167" s="18">
        <v>46069</v>
      </c>
      <c r="C167" s="17">
        <v>4</v>
      </c>
      <c r="D167" s="17" t="str">
        <f>IF(Entradas[[#This Row],[Proveedor (código)]]="","",VLOOKUP(Entradas[[#This Row],[Proveedor (código)]],Proveedores[[#All],[Código]:[Nombre fiscal]],2,FALSE))</f>
        <v>Metro B.A</v>
      </c>
      <c r="E167" s="29" t="s">
        <v>749</v>
      </c>
      <c r="F167" s="17" t="str">
        <f>IF(Entradas[[#This Row],[Artículo (código)]]="","",VLOOKUP(Entradas[[#This Row],[Artículo (código)]],Existencias!A:D,4,FALSE))</f>
        <v>Azucar blanca 5 kg</v>
      </c>
      <c r="G167" s="17">
        <v>1</v>
      </c>
      <c r="H167" s="57">
        <f>VLOOKUP(Entradas[[#This Row],[Artículo (código)]],Existencias!A:F,6,FALSE)*Entradas[[#This Row],[Cantidad]]</f>
        <v>17.690000000000001</v>
      </c>
      <c r="I167" s="58">
        <f>Entradas[[#This Row],[Precio POR UNIDAD]]*Entradas[[#This Row],[Cantidad]]</f>
        <v>17.690000000000001</v>
      </c>
    </row>
    <row r="168" spans="1:9" x14ac:dyDescent="0.3">
      <c r="A168" s="17"/>
      <c r="B168" s="18">
        <v>46069</v>
      </c>
      <c r="C168" s="17">
        <v>4</v>
      </c>
      <c r="D168" s="17" t="str">
        <f>IF(Entradas[[#This Row],[Proveedor (código)]]="","",VLOOKUP(Entradas[[#This Row],[Proveedor (código)]],Proveedores[[#All],[Código]:[Nombre fiscal]],2,FALSE))</f>
        <v>Metro B.A</v>
      </c>
      <c r="E168" s="29" t="s">
        <v>755</v>
      </c>
      <c r="F168" s="17" t="str">
        <f>IF(Entradas[[#This Row],[Artículo (código)]]="","",VLOOKUP(Entradas[[#This Row],[Artículo (código)]],Existencias!A:D,4,FALSE))</f>
        <v>Azucar rubia 5 kg</v>
      </c>
      <c r="G168" s="17">
        <v>1</v>
      </c>
      <c r="H168" s="57">
        <f>VLOOKUP(Entradas[[#This Row],[Artículo (código)]],Existencias!A:F,6,FALSE)*Entradas[[#This Row],[Cantidad]]</f>
        <v>15.89</v>
      </c>
      <c r="I168" s="58">
        <f>Entradas[[#This Row],[Precio POR UNIDAD]]*Entradas[[#This Row],[Cantidad]]</f>
        <v>15.89</v>
      </c>
    </row>
    <row r="169" spans="1:9" x14ac:dyDescent="0.3">
      <c r="A169" s="17"/>
      <c r="B169" s="18">
        <v>46069</v>
      </c>
      <c r="C169" s="17">
        <v>4</v>
      </c>
      <c r="D169" s="17" t="str">
        <f>IF(Entradas[[#This Row],[Proveedor (código)]]="","",VLOOKUP(Entradas[[#This Row],[Proveedor (código)]],Proveedores[[#All],[Código]:[Nombre fiscal]],2,FALSE))</f>
        <v>Metro B.A</v>
      </c>
      <c r="E169" s="29" t="s">
        <v>799</v>
      </c>
      <c r="F169" s="17" t="str">
        <f>IF(Entradas[[#This Row],[Artículo (código)]]="","",VLOOKUP(Entradas[[#This Row],[Artículo (código)]],Existencias!A:D,4,FALSE))</f>
        <v>Arroz 1 kg</v>
      </c>
      <c r="G169" s="17">
        <v>3</v>
      </c>
      <c r="H169" s="57">
        <f>VLOOKUP(Entradas[[#This Row],[Artículo (código)]],Existencias!A:F,6,FALSE)*Entradas[[#This Row],[Cantidad]]</f>
        <v>14.190000000000001</v>
      </c>
      <c r="I169" s="58">
        <f>Entradas[[#This Row],[Precio POR UNIDAD]]*Entradas[[#This Row],[Cantidad]]</f>
        <v>42.570000000000007</v>
      </c>
    </row>
    <row r="170" spans="1:9" x14ac:dyDescent="0.3">
      <c r="A170" s="17"/>
      <c r="B170" s="18">
        <v>46069</v>
      </c>
      <c r="C170" s="17">
        <v>4</v>
      </c>
      <c r="D170" s="17" t="str">
        <f>IF(Entradas[[#This Row],[Proveedor (código)]]="","",VLOOKUP(Entradas[[#This Row],[Proveedor (código)]],Proveedores[[#All],[Código]:[Nombre fiscal]],2,FALSE))</f>
        <v>Metro B.A</v>
      </c>
      <c r="E170" s="29" t="s">
        <v>1219</v>
      </c>
      <c r="F170" s="17" t="str">
        <f>IF(Entradas[[#This Row],[Artículo (código)]]="","",VLOOKUP(Entradas[[#This Row],[Artículo (código)]],Existencias!A:D,4,FALSE))</f>
        <v>Papa Seca 500 gr</v>
      </c>
      <c r="G170" s="17">
        <v>2</v>
      </c>
      <c r="H170" s="57">
        <f>VLOOKUP(Entradas[[#This Row],[Artículo (código)]],Existencias!A:F,6,FALSE)*Entradas[[#This Row],[Cantidad]]</f>
        <v>11.58</v>
      </c>
      <c r="I170" s="58">
        <f>Entradas[[#This Row],[Precio POR UNIDAD]]*Entradas[[#This Row],[Cantidad]]</f>
        <v>23.16</v>
      </c>
    </row>
    <row r="171" spans="1:9" x14ac:dyDescent="0.3">
      <c r="A171" s="17"/>
      <c r="B171" s="18">
        <v>46069</v>
      </c>
      <c r="C171" s="17">
        <v>4</v>
      </c>
      <c r="D171" s="17" t="str">
        <f>IF(Entradas[[#This Row],[Proveedor (código)]]="","",VLOOKUP(Entradas[[#This Row],[Proveedor (código)]],Proveedores[[#All],[Código]:[Nombre fiscal]],2,FALSE))</f>
        <v>Metro B.A</v>
      </c>
      <c r="E171" s="29" t="s">
        <v>919</v>
      </c>
      <c r="F171" s="17" t="str">
        <f>IF(Entradas[[#This Row],[Artículo (código)]]="","",VLOOKUP(Entradas[[#This Row],[Artículo (código)]],Existencias!A:D,4,FALSE))</f>
        <v>Fideos cortos 250 gr</v>
      </c>
      <c r="G171" s="17">
        <v>1</v>
      </c>
      <c r="H171" s="57">
        <f>VLOOKUP(Entradas[[#This Row],[Artículo (código)]],Existencias!A:F,6,FALSE)*Entradas[[#This Row],[Cantidad]]</f>
        <v>2.58</v>
      </c>
      <c r="I171" s="58">
        <f>Entradas[[#This Row],[Precio POR UNIDAD]]*Entradas[[#This Row],[Cantidad]]</f>
        <v>2.58</v>
      </c>
    </row>
    <row r="172" spans="1:9" x14ac:dyDescent="0.3">
      <c r="A172" s="17"/>
      <c r="B172" s="18">
        <v>46069</v>
      </c>
      <c r="C172" s="17">
        <v>4</v>
      </c>
      <c r="D172" s="17" t="str">
        <f>IF(Entradas[[#This Row],[Proveedor (código)]]="","",VLOOKUP(Entradas[[#This Row],[Proveedor (código)]],Proveedores[[#All],[Código]:[Nombre fiscal]],2,FALSE))</f>
        <v>Metro B.A</v>
      </c>
      <c r="E172" s="29" t="s">
        <v>1196</v>
      </c>
      <c r="F172" s="17" t="str">
        <f>IF(Entradas[[#This Row],[Artículo (código)]]="","",VLOOKUP(Entradas[[#This Row],[Artículo (código)]],Existencias!A:D,4,FALSE))</f>
        <v>Lenteja 500 gr</v>
      </c>
      <c r="G172" s="17">
        <v>1</v>
      </c>
      <c r="H172" s="57">
        <f>VLOOKUP(Entradas[[#This Row],[Artículo (código)]],Existencias!A:F,6,FALSE)*Entradas[[#This Row],[Cantidad]]</f>
        <v>2.92</v>
      </c>
      <c r="I172" s="58">
        <f>Entradas[[#This Row],[Precio POR UNIDAD]]*Entradas[[#This Row],[Cantidad]]</f>
        <v>2.92</v>
      </c>
    </row>
    <row r="173" spans="1:9" x14ac:dyDescent="0.3">
      <c r="A173" s="17"/>
      <c r="B173" s="18">
        <v>46069</v>
      </c>
      <c r="C173" s="17">
        <v>4</v>
      </c>
      <c r="D173" s="17" t="str">
        <f>IF(Entradas[[#This Row],[Proveedor (código)]]="","",VLOOKUP(Entradas[[#This Row],[Proveedor (código)]],Proveedores[[#All],[Código]:[Nombre fiscal]],2,FALSE))</f>
        <v>Metro B.A</v>
      </c>
      <c r="E173" s="29" t="s">
        <v>917</v>
      </c>
      <c r="F173" s="17" t="str">
        <f>IF(Entradas[[#This Row],[Artículo (código)]]="","",VLOOKUP(Entradas[[#This Row],[Artículo (código)]],Existencias!A:D,4,FALSE))</f>
        <v>Fideos largos 900 gr</v>
      </c>
      <c r="G173" s="17">
        <v>1</v>
      </c>
      <c r="H173" s="57">
        <f>VLOOKUP(Entradas[[#This Row],[Artículo (código)]],Existencias!A:F,6,FALSE)*Entradas[[#This Row],[Cantidad]]</f>
        <v>4.75</v>
      </c>
      <c r="I173" s="58">
        <f>Entradas[[#This Row],[Precio POR UNIDAD]]*Entradas[[#This Row],[Cantidad]]</f>
        <v>4.75</v>
      </c>
    </row>
    <row r="174" spans="1:9" x14ac:dyDescent="0.3">
      <c r="A174" s="17"/>
      <c r="B174" s="18">
        <v>46069</v>
      </c>
      <c r="C174" s="17">
        <v>5</v>
      </c>
      <c r="D174" s="17" t="str">
        <f>IF(Entradas[[#This Row],[Proveedor (código)]]="","",VLOOKUP(Entradas[[#This Row],[Proveedor (código)]],Proveedores[[#All],[Código]:[Nombre fiscal]],2,FALSE))</f>
        <v>Almacen Banco de Alimentos</v>
      </c>
      <c r="E174" s="29" t="s">
        <v>917</v>
      </c>
      <c r="F174" s="17" t="str">
        <f>IF(Entradas[[#This Row],[Artículo (código)]]="","",VLOOKUP(Entradas[[#This Row],[Artículo (código)]],Existencias!A:D,4,FALSE))</f>
        <v>Fideos largos 900 gr</v>
      </c>
      <c r="G174" s="17">
        <v>3</v>
      </c>
      <c r="H174" s="57">
        <f>VLOOKUP(Entradas[[#This Row],[Artículo (código)]],Existencias!A:F,6,FALSE)*Entradas[[#This Row],[Cantidad]]</f>
        <v>14.25</v>
      </c>
      <c r="I174" s="58">
        <f>Entradas[[#This Row],[Precio POR UNIDAD]]*Entradas[[#This Row],[Cantidad]]</f>
        <v>42.75</v>
      </c>
    </row>
    <row r="175" spans="1:9" x14ac:dyDescent="0.3">
      <c r="A175" s="17"/>
      <c r="B175" s="18">
        <v>46069</v>
      </c>
      <c r="C175" s="17">
        <v>5</v>
      </c>
      <c r="D175" s="17" t="str">
        <f>IF(Entradas[[#This Row],[Proveedor (código)]]="","",VLOOKUP(Entradas[[#This Row],[Proveedor (código)]],Proveedores[[#All],[Código]:[Nombre fiscal]],2,FALSE))</f>
        <v>Almacen Banco de Alimentos</v>
      </c>
      <c r="E175" s="29" t="s">
        <v>1219</v>
      </c>
      <c r="F175" s="17" t="str">
        <f>IF(Entradas[[#This Row],[Artículo (código)]]="","",VLOOKUP(Entradas[[#This Row],[Artículo (código)]],Existencias!A:D,4,FALSE))</f>
        <v>Papa Seca 500 gr</v>
      </c>
      <c r="G175" s="17">
        <v>2</v>
      </c>
      <c r="H175" s="57">
        <f>VLOOKUP(Entradas[[#This Row],[Artículo (código)]],Existencias!A:F,6,FALSE)*Entradas[[#This Row],[Cantidad]]</f>
        <v>11.58</v>
      </c>
      <c r="I175" s="58">
        <f>Entradas[[#This Row],[Precio POR UNIDAD]]*Entradas[[#This Row],[Cantidad]]</f>
        <v>23.16</v>
      </c>
    </row>
    <row r="176" spans="1:9" x14ac:dyDescent="0.3">
      <c r="A176" s="17"/>
      <c r="B176" s="18">
        <v>46069</v>
      </c>
      <c r="C176" s="17">
        <v>5</v>
      </c>
      <c r="D176" s="17" t="str">
        <f>IF(Entradas[[#This Row],[Proveedor (código)]]="","",VLOOKUP(Entradas[[#This Row],[Proveedor (código)]],Proveedores[[#All],[Código]:[Nombre fiscal]],2,FALSE))</f>
        <v>Almacen Banco de Alimentos</v>
      </c>
      <c r="E176" s="29" t="s">
        <v>919</v>
      </c>
      <c r="F176" s="17" t="str">
        <f>IF(Entradas[[#This Row],[Artículo (código)]]="","",VLOOKUP(Entradas[[#This Row],[Artículo (código)]],Existencias!A:D,4,FALSE))</f>
        <v>Fideos cortos 250 gr</v>
      </c>
      <c r="G176" s="17">
        <v>8</v>
      </c>
      <c r="H176" s="57">
        <f>VLOOKUP(Entradas[[#This Row],[Artículo (código)]],Existencias!A:F,6,FALSE)*Entradas[[#This Row],[Cantidad]]</f>
        <v>20.64</v>
      </c>
      <c r="I176" s="58">
        <f>Entradas[[#This Row],[Precio POR UNIDAD]]*Entradas[[#This Row],[Cantidad]]</f>
        <v>165.12</v>
      </c>
    </row>
    <row r="177" spans="1:9" x14ac:dyDescent="0.3">
      <c r="A177" s="17"/>
      <c r="B177" s="18">
        <v>46069</v>
      </c>
      <c r="C177" s="17">
        <v>5</v>
      </c>
      <c r="D177" s="17" t="str">
        <f>IF(Entradas[[#This Row],[Proveedor (código)]]="","",VLOOKUP(Entradas[[#This Row],[Proveedor (código)]],Proveedores[[#All],[Código]:[Nombre fiscal]],2,FALSE))</f>
        <v>Almacen Banco de Alimentos</v>
      </c>
      <c r="E177" s="29" t="s">
        <v>755</v>
      </c>
      <c r="F177" s="17" t="str">
        <f>IF(Entradas[[#This Row],[Artículo (código)]]="","",VLOOKUP(Entradas[[#This Row],[Artículo (código)]],Existencias!A:D,4,FALSE))</f>
        <v>Azucar rubia 5 kg</v>
      </c>
      <c r="G177" s="17">
        <v>2</v>
      </c>
      <c r="H177" s="57">
        <f>VLOOKUP(Entradas[[#This Row],[Artículo (código)]],Existencias!A:F,6,FALSE)*Entradas[[#This Row],[Cantidad]]</f>
        <v>31.78</v>
      </c>
      <c r="I177" s="58">
        <f>Entradas[[#This Row],[Precio POR UNIDAD]]*Entradas[[#This Row],[Cantidad]]</f>
        <v>63.56</v>
      </c>
    </row>
    <row r="178" spans="1:9" x14ac:dyDescent="0.3">
      <c r="A178" s="17"/>
      <c r="B178" s="18">
        <v>46069</v>
      </c>
      <c r="C178" s="17">
        <v>5</v>
      </c>
      <c r="D178" s="17" t="str">
        <f>IF(Entradas[[#This Row],[Proveedor (código)]]="","",VLOOKUP(Entradas[[#This Row],[Proveedor (código)]],Proveedores[[#All],[Código]:[Nombre fiscal]],2,FALSE))</f>
        <v>Almacen Banco de Alimentos</v>
      </c>
      <c r="E178" s="29" t="s">
        <v>1223</v>
      </c>
      <c r="F178" s="17" t="str">
        <f>IF(Entradas[[#This Row],[Artículo (código)]]="","",VLOOKUP(Entradas[[#This Row],[Artículo (código)]],Existencias!A:D,4,FALSE))</f>
        <v>Pop Corn 500 gr</v>
      </c>
      <c r="G178" s="17">
        <v>1</v>
      </c>
      <c r="H178" s="57">
        <f>VLOOKUP(Entradas[[#This Row],[Artículo (código)]],Existencias!A:F,6,FALSE)*Entradas[[#This Row],[Cantidad]]</f>
        <v>0</v>
      </c>
      <c r="I178" s="58">
        <f>Entradas[[#This Row],[Precio POR UNIDAD]]*Entradas[[#This Row],[Cantidad]]</f>
        <v>0</v>
      </c>
    </row>
    <row r="179" spans="1:9" x14ac:dyDescent="0.3">
      <c r="A179" s="17"/>
      <c r="B179" s="18">
        <v>46069</v>
      </c>
      <c r="C179" s="17">
        <v>5</v>
      </c>
      <c r="D179" s="17" t="str">
        <f>IF(Entradas[[#This Row],[Proveedor (código)]]="","",VLOOKUP(Entradas[[#This Row],[Proveedor (código)]],Proveedores[[#All],[Código]:[Nombre fiscal]],2,FALSE))</f>
        <v>Almacen Banco de Alimentos</v>
      </c>
      <c r="E179" s="29" t="s">
        <v>1196</v>
      </c>
      <c r="F179" s="17" t="str">
        <f>IF(Entradas[[#This Row],[Artículo (código)]]="","",VLOOKUP(Entradas[[#This Row],[Artículo (código)]],Existencias!A:D,4,FALSE))</f>
        <v>Lenteja 500 gr</v>
      </c>
      <c r="G179" s="17">
        <v>1</v>
      </c>
      <c r="H179" s="57">
        <f>VLOOKUP(Entradas[[#This Row],[Artículo (código)]],Existencias!A:F,6,FALSE)*Entradas[[#This Row],[Cantidad]]</f>
        <v>2.92</v>
      </c>
      <c r="I179" s="58">
        <f>Entradas[[#This Row],[Precio POR UNIDAD]]*Entradas[[#This Row],[Cantidad]]</f>
        <v>2.92</v>
      </c>
    </row>
    <row r="180" spans="1:9" x14ac:dyDescent="0.3">
      <c r="A180" s="17"/>
      <c r="B180" s="18">
        <v>46069</v>
      </c>
      <c r="C180" s="17">
        <v>5</v>
      </c>
      <c r="D180" s="17" t="str">
        <f>IF(Entradas[[#This Row],[Proveedor (código)]]="","",VLOOKUP(Entradas[[#This Row],[Proveedor (código)]],Proveedores[[#All],[Código]:[Nombre fiscal]],2,FALSE))</f>
        <v>Almacen Banco de Alimentos</v>
      </c>
      <c r="E180" s="29" t="s">
        <v>1021</v>
      </c>
      <c r="F180" s="17" t="str">
        <f>IF(Entradas[[#This Row],[Artículo (código)]]="","",VLOOKUP(Entradas[[#This Row],[Artículo (código)]],Existencias!A:D,4,FALSE))</f>
        <v>Cafe Instantaneo 180 gr</v>
      </c>
      <c r="G180" s="17">
        <v>1</v>
      </c>
      <c r="H180" s="57">
        <f>VLOOKUP(Entradas[[#This Row],[Artículo (código)]],Existencias!A:F,6,FALSE)*Entradas[[#This Row],[Cantidad]]</f>
        <v>0</v>
      </c>
      <c r="I180" s="58">
        <f>Entradas[[#This Row],[Precio POR UNIDAD]]*Entradas[[#This Row],[Cantidad]]</f>
        <v>0</v>
      </c>
    </row>
    <row r="181" spans="1:9" x14ac:dyDescent="0.3">
      <c r="A181" s="17"/>
      <c r="B181" s="18">
        <v>46069</v>
      </c>
      <c r="C181" s="17">
        <v>5</v>
      </c>
      <c r="D181" s="17" t="str">
        <f>IF(Entradas[[#This Row],[Proveedor (código)]]="","",VLOOKUP(Entradas[[#This Row],[Proveedor (código)]],Proveedores[[#All],[Código]:[Nombre fiscal]],2,FALSE))</f>
        <v>Almacen Banco de Alimentos</v>
      </c>
      <c r="E181" s="29" t="s">
        <v>799</v>
      </c>
      <c r="F181" s="17" t="str">
        <f>IF(Entradas[[#This Row],[Artículo (código)]]="","",VLOOKUP(Entradas[[#This Row],[Artículo (código)]],Existencias!A:D,4,FALSE))</f>
        <v>Arroz 1 kg</v>
      </c>
      <c r="G181" s="17">
        <v>1</v>
      </c>
      <c r="H181" s="57">
        <f>VLOOKUP(Entradas[[#This Row],[Artículo (código)]],Existencias!A:F,6,FALSE)*Entradas[[#This Row],[Cantidad]]</f>
        <v>4.7300000000000004</v>
      </c>
      <c r="I181" s="58">
        <f>Entradas[[#This Row],[Precio POR UNIDAD]]*Entradas[[#This Row],[Cantidad]]</f>
        <v>4.7300000000000004</v>
      </c>
    </row>
    <row r="182" spans="1:9" x14ac:dyDescent="0.3">
      <c r="A182" s="17"/>
      <c r="B182" s="18">
        <v>46069</v>
      </c>
      <c r="C182" s="17">
        <v>5</v>
      </c>
      <c r="D182" s="17" t="str">
        <f>IF(Entradas[[#This Row],[Proveedor (código)]]="","",VLOOKUP(Entradas[[#This Row],[Proveedor (código)]],Proveedores[[#All],[Código]:[Nombre fiscal]],2,FALSE))</f>
        <v>Almacen Banco de Alimentos</v>
      </c>
      <c r="E182" s="29" t="s">
        <v>923</v>
      </c>
      <c r="F182" s="17" t="e">
        <f>IF(Entradas[[#This Row],[Artículo (código)]]="","",VLOOKUP(Entradas[[#This Row],[Artículo (código)]],Existencias!A:D,4,FALSE))</f>
        <v>#N/A</v>
      </c>
      <c r="G182" s="17">
        <v>2</v>
      </c>
      <c r="H182" s="57" t="e">
        <f>VLOOKUP(Entradas[[#This Row],[Artículo (código)]],Existencias!A:F,6,FALSE)*Entradas[[#This Row],[Cantidad]]</f>
        <v>#N/A</v>
      </c>
      <c r="I182" s="58" t="e">
        <f>Entradas[[#This Row],[Precio POR UNIDAD]]*Entradas[[#This Row],[Cantidad]]</f>
        <v>#N/A</v>
      </c>
    </row>
    <row r="183" spans="1:9" x14ac:dyDescent="0.3">
      <c r="A183" s="17"/>
      <c r="B183" s="18">
        <v>46069</v>
      </c>
      <c r="C183" s="17">
        <v>5</v>
      </c>
      <c r="D183" s="17" t="str">
        <f>IF(Entradas[[#This Row],[Proveedor (código)]]="","",VLOOKUP(Entradas[[#This Row],[Proveedor (código)]],Proveedores[[#All],[Código]:[Nombre fiscal]],2,FALSE))</f>
        <v>Almacen Banco de Alimentos</v>
      </c>
      <c r="E183" s="29" t="s">
        <v>1212</v>
      </c>
      <c r="F183" s="17" t="str">
        <f>IF(Entradas[[#This Row],[Artículo (código)]]="","",VLOOKUP(Entradas[[#This Row],[Artículo (código)]],Existencias!A:D,4,FALSE))</f>
        <v>Pallar 500 gr</v>
      </c>
      <c r="G183" s="17">
        <v>4</v>
      </c>
      <c r="H183" s="57">
        <f>VLOOKUP(Entradas[[#This Row],[Artículo (código)]],Existencias!A:F,6,FALSE)*Entradas[[#This Row],[Cantidad]]</f>
        <v>0</v>
      </c>
      <c r="I183" s="58">
        <f>Entradas[[#This Row],[Precio POR UNIDAD]]*Entradas[[#This Row],[Cantidad]]</f>
        <v>0</v>
      </c>
    </row>
    <row r="184" spans="1:9" x14ac:dyDescent="0.3">
      <c r="A184" s="17"/>
      <c r="B184" s="18">
        <v>46069</v>
      </c>
      <c r="C184" s="17">
        <v>5</v>
      </c>
      <c r="D184" s="17" t="str">
        <f>IF(Entradas[[#This Row],[Proveedor (código)]]="","",VLOOKUP(Entradas[[#This Row],[Proveedor (código)]],Proveedores[[#All],[Código]:[Nombre fiscal]],2,FALSE))</f>
        <v>Almacen Banco de Alimentos</v>
      </c>
      <c r="E184" s="29" t="s">
        <v>703</v>
      </c>
      <c r="F184" s="17" t="str">
        <f>IF(Entradas[[#This Row],[Artículo (código)]]="","",VLOOKUP(Entradas[[#This Row],[Artículo (código)]],Existencias!A:D,4,FALSE))</f>
        <v>Leche Evaporada  390 gr lata</v>
      </c>
      <c r="G184" s="17">
        <v>10</v>
      </c>
      <c r="H184" s="57">
        <f>VLOOKUP(Entradas[[#This Row],[Artículo (código)]],Existencias!A:F,6,FALSE)*Entradas[[#This Row],[Cantidad]]</f>
        <v>0</v>
      </c>
      <c r="I184" s="58">
        <f>Entradas[[#This Row],[Precio POR UNIDAD]]*Entradas[[#This Row],[Cantidad]]</f>
        <v>0</v>
      </c>
    </row>
    <row r="185" spans="1:9" x14ac:dyDescent="0.3">
      <c r="A185" s="17"/>
      <c r="B185" s="18">
        <v>46069</v>
      </c>
      <c r="C185" s="17">
        <v>5</v>
      </c>
      <c r="D185" s="17" t="str">
        <f>IF(Entradas[[#This Row],[Proveedor (código)]]="","",VLOOKUP(Entradas[[#This Row],[Proveedor (código)]],Proveedores[[#All],[Código]:[Nombre fiscal]],2,FALSE))</f>
        <v>Almacen Banco de Alimentos</v>
      </c>
      <c r="E185" s="29" t="s">
        <v>1042</v>
      </c>
      <c r="F185" s="17" t="str">
        <f>IF(Entradas[[#This Row],[Artículo (código)]]="","",VLOOKUP(Entradas[[#This Row],[Artículo (código)]],Existencias!A:D,4,FALSE))</f>
        <v>Leche 900 ml caja</v>
      </c>
      <c r="G185" s="17">
        <v>4</v>
      </c>
      <c r="H185" s="57">
        <f>VLOOKUP(Entradas[[#This Row],[Artículo (código)]],Existencias!A:F,6,FALSE)*Entradas[[#This Row],[Cantidad]]</f>
        <v>0</v>
      </c>
      <c r="I185" s="58">
        <f>Entradas[[#This Row],[Precio POR UNIDAD]]*Entradas[[#This Row],[Cantidad]]</f>
        <v>0</v>
      </c>
    </row>
    <row r="186" spans="1:9" x14ac:dyDescent="0.3">
      <c r="A186" s="17"/>
      <c r="B186" s="18">
        <v>46069</v>
      </c>
      <c r="C186" s="17">
        <v>5</v>
      </c>
      <c r="D186" s="17" t="str">
        <f>IF(Entradas[[#This Row],[Proveedor (código)]]="","",VLOOKUP(Entradas[[#This Row],[Proveedor (código)]],Proveedores[[#All],[Código]:[Nombre fiscal]],2,FALSE))</f>
        <v>Almacen Banco de Alimentos</v>
      </c>
      <c r="E186" s="29" t="s">
        <v>729</v>
      </c>
      <c r="F186" s="17" t="str">
        <f>IF(Entradas[[#This Row],[Artículo (código)]]="","",VLOOKUP(Entradas[[#This Row],[Artículo (código)]],Existencias!A:D,4,FALSE))</f>
        <v>Pollo trozado</v>
      </c>
      <c r="G186" s="17">
        <v>3.8</v>
      </c>
      <c r="H186" s="57">
        <f>VLOOKUP(Entradas[[#This Row],[Artículo (código)]],Existencias!A:F,6,FALSE)*Entradas[[#This Row],[Cantidad]]</f>
        <v>0</v>
      </c>
      <c r="I186" s="58">
        <f>Entradas[[#This Row],[Precio POR UNIDAD]]*Entradas[[#This Row],[Cantidad]]</f>
        <v>0</v>
      </c>
    </row>
    <row r="187" spans="1:9" x14ac:dyDescent="0.3">
      <c r="A187" s="17"/>
      <c r="B187" s="18">
        <v>46069</v>
      </c>
      <c r="C187" s="17">
        <v>5</v>
      </c>
      <c r="D187" s="17" t="str">
        <f>IF(Entradas[[#This Row],[Proveedor (código)]]="","",VLOOKUP(Entradas[[#This Row],[Proveedor (código)]],Proveedores[[#All],[Código]:[Nombre fiscal]],2,FALSE))</f>
        <v>Almacen Banco de Alimentos</v>
      </c>
      <c r="E187" s="29" t="s">
        <v>777</v>
      </c>
      <c r="F187" s="17" t="str">
        <f>IF(Entradas[[#This Row],[Artículo (código)]]="","",VLOOKUP(Entradas[[#This Row],[Artículo (código)]],Existencias!A:D,4,FALSE))</f>
        <v>bondiola</v>
      </c>
      <c r="G187" s="17">
        <v>1.1000000000000001</v>
      </c>
      <c r="H187" s="57">
        <f>VLOOKUP(Entradas[[#This Row],[Artículo (código)]],Existencias!A:F,6,FALSE)*Entradas[[#This Row],[Cantidad]]</f>
        <v>0</v>
      </c>
      <c r="I187" s="58">
        <f>Entradas[[#This Row],[Precio POR UNIDAD]]*Entradas[[#This Row],[Cantidad]]</f>
        <v>0</v>
      </c>
    </row>
    <row r="188" spans="1:9" x14ac:dyDescent="0.3">
      <c r="A188" s="17"/>
      <c r="B188" s="18">
        <v>46069</v>
      </c>
      <c r="C188" s="17">
        <v>5</v>
      </c>
      <c r="D188" s="17" t="str">
        <f>IF(Entradas[[#This Row],[Proveedor (código)]]="","",VLOOKUP(Entradas[[#This Row],[Proveedor (código)]],Proveedores[[#All],[Código]:[Nombre fiscal]],2,FALSE))</f>
        <v>Almacen Banco de Alimentos</v>
      </c>
      <c r="E188" s="29" t="s">
        <v>773</v>
      </c>
      <c r="F188" s="17" t="str">
        <f>IF(Entradas[[#This Row],[Artículo (código)]]="","",VLOOKUP(Entradas[[#This Row],[Artículo (código)]],Existencias!A:D,4,FALSE))</f>
        <v>Panceta con hueso</v>
      </c>
      <c r="G188" s="17">
        <v>2.7</v>
      </c>
      <c r="H188" s="57">
        <f>VLOOKUP(Entradas[[#This Row],[Artículo (código)]],Existencias!A:F,6,FALSE)*Entradas[[#This Row],[Cantidad]]</f>
        <v>0</v>
      </c>
      <c r="I188" s="58">
        <f>Entradas[[#This Row],[Precio POR UNIDAD]]*Entradas[[#This Row],[Cantidad]]</f>
        <v>0</v>
      </c>
    </row>
    <row r="189" spans="1:9" x14ac:dyDescent="0.3">
      <c r="A189" s="17"/>
      <c r="B189" s="18">
        <v>46069</v>
      </c>
      <c r="C189" s="17">
        <v>5</v>
      </c>
      <c r="D189" s="17" t="str">
        <f>IF(Entradas[[#This Row],[Proveedor (código)]]="","",VLOOKUP(Entradas[[#This Row],[Proveedor (código)]],Proveedores[[#All],[Código]:[Nombre fiscal]],2,FALSE))</f>
        <v>Almacen Banco de Alimentos</v>
      </c>
      <c r="E189" s="29" t="s">
        <v>743</v>
      </c>
      <c r="F189" s="17" t="str">
        <f>IF(Entradas[[#This Row],[Artículo (código)]]="","",VLOOKUP(Entradas[[#This Row],[Artículo (código)]],Existencias!A:D,4,FALSE))</f>
        <v>Muslo de pello</v>
      </c>
      <c r="G189" s="17">
        <v>0.5</v>
      </c>
      <c r="H189" s="57">
        <f>VLOOKUP(Entradas[[#This Row],[Artículo (código)]],Existencias!A:F,6,FALSE)*Entradas[[#This Row],[Cantidad]]</f>
        <v>6.3150000000000004</v>
      </c>
      <c r="I189" s="58">
        <f>Entradas[[#This Row],[Precio POR UNIDAD]]*Entradas[[#This Row],[Cantidad]]</f>
        <v>3.1575000000000002</v>
      </c>
    </row>
    <row r="190" spans="1:9" x14ac:dyDescent="0.3">
      <c r="A190" s="17"/>
      <c r="B190" s="18">
        <v>46069</v>
      </c>
      <c r="C190" s="17">
        <v>5</v>
      </c>
      <c r="D190" s="17" t="str">
        <f>IF(Entradas[[#This Row],[Proveedor (código)]]="","",VLOOKUP(Entradas[[#This Row],[Proveedor (código)]],Proveedores[[#All],[Código]:[Nombre fiscal]],2,FALSE))</f>
        <v>Almacen Banco de Alimentos</v>
      </c>
      <c r="E190" s="29" t="s">
        <v>727</v>
      </c>
      <c r="F190" s="17" t="str">
        <f>IF(Entradas[[#This Row],[Artículo (código)]]="","",VLOOKUP(Entradas[[#This Row],[Artículo (código)]],Existencias!A:D,4,FALSE))</f>
        <v>Pollo piernas  c/ encuentro bandeja</v>
      </c>
      <c r="G190" s="17">
        <v>0.7</v>
      </c>
      <c r="H190" s="57">
        <f>VLOOKUP(Entradas[[#This Row],[Artículo (código)]],Existencias!A:F,6,FALSE)*Entradas[[#This Row],[Cantidad]]</f>
        <v>0</v>
      </c>
      <c r="I190" s="58">
        <f>Entradas[[#This Row],[Precio POR UNIDAD]]*Entradas[[#This Row],[Cantidad]]</f>
        <v>0</v>
      </c>
    </row>
    <row r="191" spans="1:9" x14ac:dyDescent="0.3">
      <c r="A191" s="17"/>
      <c r="B191" s="18">
        <v>46071</v>
      </c>
      <c r="C191" s="17">
        <v>4</v>
      </c>
      <c r="D191" s="17" t="str">
        <f>IF(Entradas[[#This Row],[Proveedor (código)]]="","",VLOOKUP(Entradas[[#This Row],[Proveedor (código)]],Proveedores[[#All],[Código]:[Nombre fiscal]],2,FALSE))</f>
        <v>Metro B.A</v>
      </c>
      <c r="E191" s="29" t="s">
        <v>734</v>
      </c>
      <c r="F191" s="17" t="str">
        <f>IF(Entradas[[#This Row],[Artículo (código)]]="","",VLOOKUP(Entradas[[#This Row],[Artículo (código)]],Existencias!A:D,4,FALSE))</f>
        <v>Pollo saborizado</v>
      </c>
      <c r="G191" s="17">
        <v>4</v>
      </c>
      <c r="H191" s="57">
        <f>VLOOKUP(Entradas[[#This Row],[Artículo (código)]],Existencias!A:F,6,FALSE)*Entradas[[#This Row],[Cantidad]]</f>
        <v>42.12</v>
      </c>
      <c r="I191" s="58">
        <f>Entradas[[#This Row],[Precio POR UNIDAD]]*Entradas[[#This Row],[Cantidad]]</f>
        <v>168.48</v>
      </c>
    </row>
    <row r="192" spans="1:9" x14ac:dyDescent="0.3">
      <c r="A192" s="17"/>
      <c r="B192" s="18">
        <v>46071</v>
      </c>
      <c r="C192" s="17">
        <v>4</v>
      </c>
      <c r="D192" s="17" t="str">
        <f>IF(Entradas[[#This Row],[Proveedor (código)]]="","",VLOOKUP(Entradas[[#This Row],[Proveedor (código)]],Proveedores[[#All],[Código]:[Nombre fiscal]],2,FALSE))</f>
        <v>Metro B.A</v>
      </c>
      <c r="E192" s="29" t="s">
        <v>753</v>
      </c>
      <c r="F192" s="17" t="str">
        <f>IF(Entradas[[#This Row],[Artículo (código)]]="","",VLOOKUP(Entradas[[#This Row],[Artículo (código)]],Existencias!A:D,4,FALSE))</f>
        <v>Azucar rubia 1kg</v>
      </c>
      <c r="G192" s="17">
        <v>1</v>
      </c>
      <c r="H192" s="57">
        <f>VLOOKUP(Entradas[[#This Row],[Artículo (código)]],Existencias!A:F,6,FALSE)*Entradas[[#This Row],[Cantidad]]</f>
        <v>3.29</v>
      </c>
      <c r="I192" s="58">
        <f>Entradas[[#This Row],[Precio POR UNIDAD]]*Entradas[[#This Row],[Cantidad]]</f>
        <v>3.29</v>
      </c>
    </row>
    <row r="193" spans="1:9" x14ac:dyDescent="0.3">
      <c r="A193" s="17"/>
      <c r="B193" s="18">
        <v>46071</v>
      </c>
      <c r="C193" s="17">
        <v>4</v>
      </c>
      <c r="D193" s="17" t="str">
        <f>IF(Entradas[[#This Row],[Proveedor (código)]]="","",VLOOKUP(Entradas[[#This Row],[Proveedor (código)]],Proveedores[[#All],[Código]:[Nombre fiscal]],2,FALSE))</f>
        <v>Metro B.A</v>
      </c>
      <c r="E193" s="29" t="s">
        <v>754</v>
      </c>
      <c r="F193" s="17" t="str">
        <f>IF(Entradas[[#This Row],[Artículo (código)]]="","",VLOOKUP(Entradas[[#This Row],[Artículo (código)]],Existencias!A:D,4,FALSE))</f>
        <v>Azucar rubia 2 kg</v>
      </c>
      <c r="G193" s="17">
        <v>1</v>
      </c>
      <c r="H193" s="57">
        <f>VLOOKUP(Entradas[[#This Row],[Artículo (código)]],Existencias!A:F,6,FALSE)*Entradas[[#This Row],[Cantidad]]</f>
        <v>5.97</v>
      </c>
      <c r="I193" s="58">
        <f>Entradas[[#This Row],[Precio POR UNIDAD]]*Entradas[[#This Row],[Cantidad]]</f>
        <v>5.97</v>
      </c>
    </row>
    <row r="194" spans="1:9" x14ac:dyDescent="0.3">
      <c r="A194" s="17"/>
      <c r="B194" s="18">
        <v>46071</v>
      </c>
      <c r="C194" s="17">
        <v>4</v>
      </c>
      <c r="D194" s="17" t="str">
        <f>IF(Entradas[[#This Row],[Proveedor (código)]]="","",VLOOKUP(Entradas[[#This Row],[Proveedor (código)]],Proveedores[[#All],[Código]:[Nombre fiscal]],2,FALSE))</f>
        <v>Metro B.A</v>
      </c>
      <c r="E194" s="29" t="s">
        <v>749</v>
      </c>
      <c r="F194" s="17" t="str">
        <f>IF(Entradas[[#This Row],[Artículo (código)]]="","",VLOOKUP(Entradas[[#This Row],[Artículo (código)]],Existencias!A:D,4,FALSE))</f>
        <v>Azucar blanca 5 kg</v>
      </c>
      <c r="G194" s="17">
        <v>1</v>
      </c>
      <c r="H194" s="57">
        <f>VLOOKUP(Entradas[[#This Row],[Artículo (código)]],Existencias!A:F,6,FALSE)*Entradas[[#This Row],[Cantidad]]</f>
        <v>17.690000000000001</v>
      </c>
      <c r="I194" s="58">
        <f>Entradas[[#This Row],[Precio POR UNIDAD]]*Entradas[[#This Row],[Cantidad]]</f>
        <v>17.690000000000001</v>
      </c>
    </row>
    <row r="195" spans="1:9" x14ac:dyDescent="0.3">
      <c r="A195" s="17"/>
      <c r="B195" s="18">
        <v>46071</v>
      </c>
      <c r="C195" s="17">
        <v>4</v>
      </c>
      <c r="D195" s="17" t="str">
        <f>IF(Entradas[[#This Row],[Proveedor (código)]]="","",VLOOKUP(Entradas[[#This Row],[Proveedor (código)]],Proveedores[[#All],[Código]:[Nombre fiscal]],2,FALSE))</f>
        <v>Metro B.A</v>
      </c>
      <c r="E195" s="29" t="s">
        <v>800</v>
      </c>
      <c r="F195" s="17" t="str">
        <f>IF(Entradas[[#This Row],[Artículo (código)]]="","",VLOOKUP(Entradas[[#This Row],[Artículo (código)]],Existencias!A:D,4,FALSE))</f>
        <v xml:space="preserve">Arroz 5 kg </v>
      </c>
      <c r="G195" s="17">
        <v>2</v>
      </c>
      <c r="H195" s="57">
        <f>VLOOKUP(Entradas[[#This Row],[Artículo (código)]],Existencias!A:F,6,FALSE)*Entradas[[#This Row],[Cantidad]]</f>
        <v>49.9</v>
      </c>
      <c r="I195" s="58">
        <f>Entradas[[#This Row],[Precio POR UNIDAD]]*Entradas[[#This Row],[Cantidad]]</f>
        <v>99.8</v>
      </c>
    </row>
    <row r="196" spans="1:9" x14ac:dyDescent="0.3">
      <c r="A196" s="17"/>
      <c r="B196" s="18">
        <v>46071</v>
      </c>
      <c r="C196" s="17">
        <v>4</v>
      </c>
      <c r="D196" s="17" t="str">
        <f>IF(Entradas[[#This Row],[Proveedor (código)]]="","",VLOOKUP(Entradas[[#This Row],[Proveedor (código)]],Proveedores[[#All],[Código]:[Nombre fiscal]],2,FALSE))</f>
        <v>Metro B.A</v>
      </c>
      <c r="E196" s="29" t="s">
        <v>1226</v>
      </c>
      <c r="F196" s="17" t="str">
        <f>IF(Entradas[[#This Row],[Artículo (código)]]="","",VLOOKUP(Entradas[[#This Row],[Artículo (código)]],Existencias!A:D,4,FALSE))</f>
        <v>Quinua 500 gr</v>
      </c>
      <c r="G196" s="17">
        <v>1</v>
      </c>
      <c r="H196" s="57">
        <f>VLOOKUP(Entradas[[#This Row],[Artículo (código)]],Existencias!A:F,6,FALSE)*Entradas[[#This Row],[Cantidad]]</f>
        <v>8.2100000000000009</v>
      </c>
      <c r="I196" s="58">
        <f>Entradas[[#This Row],[Precio POR UNIDAD]]*Entradas[[#This Row],[Cantidad]]</f>
        <v>8.2100000000000009</v>
      </c>
    </row>
    <row r="197" spans="1:9" x14ac:dyDescent="0.3">
      <c r="A197" s="17"/>
      <c r="B197" s="18">
        <v>46071</v>
      </c>
      <c r="C197" s="17">
        <v>4</v>
      </c>
      <c r="D197" s="17" t="str">
        <f>IF(Entradas[[#This Row],[Proveedor (código)]]="","",VLOOKUP(Entradas[[#This Row],[Proveedor (código)]],Proveedores[[#All],[Código]:[Nombre fiscal]],2,FALSE))</f>
        <v>Metro B.A</v>
      </c>
      <c r="E197" s="29" t="s">
        <v>1237</v>
      </c>
      <c r="F197" s="17" t="str">
        <f>IF(Entradas[[#This Row],[Artículo (código)]]="","",VLOOKUP(Entradas[[#This Row],[Artículo (código)]],Existencias!A:D,4,FALSE))</f>
        <v>Quinua tricolor 500 gr</v>
      </c>
      <c r="G197" s="17">
        <v>1</v>
      </c>
      <c r="H197" s="57">
        <f>VLOOKUP(Entradas[[#This Row],[Artículo (código)]],Existencias!A:F,6,FALSE)*Entradas[[#This Row],[Cantidad]]</f>
        <v>10.38</v>
      </c>
      <c r="I197" s="58">
        <f>Entradas[[#This Row],[Precio POR UNIDAD]]*Entradas[[#This Row],[Cantidad]]</f>
        <v>10.38</v>
      </c>
    </row>
    <row r="198" spans="1:9" x14ac:dyDescent="0.3">
      <c r="A198" s="17"/>
      <c r="B198" s="18">
        <v>46071</v>
      </c>
      <c r="C198" s="17">
        <v>4</v>
      </c>
      <c r="D198" s="17" t="str">
        <f>IF(Entradas[[#This Row],[Proveedor (código)]]="","",VLOOKUP(Entradas[[#This Row],[Proveedor (código)]],Proveedores[[#All],[Código]:[Nombre fiscal]],2,FALSE))</f>
        <v>Metro B.A</v>
      </c>
      <c r="E198" s="29" t="s">
        <v>788</v>
      </c>
      <c r="F198" s="17" t="str">
        <f>IF(Entradas[[#This Row],[Artículo (código)]]="","",VLOOKUP(Entradas[[#This Row],[Artículo (código)]],Existencias!A:D,4,FALSE))</f>
        <v>Avena  1 kl</v>
      </c>
      <c r="G198" s="17">
        <v>1</v>
      </c>
      <c r="H198" s="57">
        <f>VLOOKUP(Entradas[[#This Row],[Artículo (código)]],Existencias!A:F,6,FALSE)*Entradas[[#This Row],[Cantidad]]</f>
        <v>7.75</v>
      </c>
      <c r="I198" s="58">
        <f>Entradas[[#This Row],[Precio POR UNIDAD]]*Entradas[[#This Row],[Cantidad]]</f>
        <v>7.75</v>
      </c>
    </row>
    <row r="199" spans="1:9" x14ac:dyDescent="0.3">
      <c r="A199" s="17"/>
      <c r="B199" s="18">
        <v>46071</v>
      </c>
      <c r="C199" s="17">
        <v>4</v>
      </c>
      <c r="D199" s="17" t="str">
        <f>IF(Entradas[[#This Row],[Proveedor (código)]]="","",VLOOKUP(Entradas[[#This Row],[Proveedor (código)]],Proveedores[[#All],[Código]:[Nombre fiscal]],2,FALSE))</f>
        <v>Metro B.A</v>
      </c>
      <c r="E199" s="29" t="s">
        <v>919</v>
      </c>
      <c r="F199" s="17" t="str">
        <f>IF(Entradas[[#This Row],[Artículo (código)]]="","",VLOOKUP(Entradas[[#This Row],[Artículo (código)]],Existencias!A:D,4,FALSE))</f>
        <v>Fideos cortos 250 gr</v>
      </c>
      <c r="G199" s="17">
        <v>2</v>
      </c>
      <c r="H199" s="57">
        <f>VLOOKUP(Entradas[[#This Row],[Artículo (código)]],Existencias!A:F,6,FALSE)*Entradas[[#This Row],[Cantidad]]</f>
        <v>5.16</v>
      </c>
      <c r="I199" s="58">
        <f>Entradas[[#This Row],[Precio POR UNIDAD]]*Entradas[[#This Row],[Cantidad]]</f>
        <v>10.32</v>
      </c>
    </row>
    <row r="200" spans="1:9" x14ac:dyDescent="0.3">
      <c r="A200" s="17"/>
      <c r="B200" s="18">
        <v>46073</v>
      </c>
      <c r="C200" s="17">
        <v>5</v>
      </c>
      <c r="D200" s="17" t="str">
        <f>IF(Entradas[[#This Row],[Proveedor (código)]]="","",VLOOKUP(Entradas[[#This Row],[Proveedor (código)]],Proveedores[[#All],[Código]:[Nombre fiscal]],2,FALSE))</f>
        <v>Almacen Banco de Alimentos</v>
      </c>
      <c r="E200" s="29" t="s">
        <v>917</v>
      </c>
      <c r="F200" s="17" t="str">
        <f>IF(Entradas[[#This Row],[Artículo (código)]]="","",VLOOKUP(Entradas[[#This Row],[Artículo (código)]],Existencias!A:D,4,FALSE))</f>
        <v>Fideos largos 900 gr</v>
      </c>
      <c r="G200" s="17">
        <v>1</v>
      </c>
      <c r="H200" s="57">
        <f>VLOOKUP(Entradas[[#This Row],[Artículo (código)]],Existencias!A:F,6,FALSE)*Entradas[[#This Row],[Cantidad]]</f>
        <v>4.75</v>
      </c>
      <c r="I200" s="58">
        <f>Entradas[[#This Row],[Precio POR UNIDAD]]*Entradas[[#This Row],[Cantidad]]</f>
        <v>4.75</v>
      </c>
    </row>
    <row r="201" spans="1:9" x14ac:dyDescent="0.3">
      <c r="A201" s="17"/>
      <c r="B201" s="18">
        <v>46073</v>
      </c>
      <c r="C201" s="17">
        <v>5</v>
      </c>
      <c r="D201" s="17" t="str">
        <f>IF(Entradas[[#This Row],[Proveedor (código)]]="","",VLOOKUP(Entradas[[#This Row],[Proveedor (código)]],Proveedores[[#All],[Código]:[Nombre fiscal]],2,FALSE))</f>
        <v>Almacen Banco de Alimentos</v>
      </c>
      <c r="E201" s="29" t="s">
        <v>755</v>
      </c>
      <c r="F201" s="17" t="str">
        <f>IF(Entradas[[#This Row],[Artículo (código)]]="","",VLOOKUP(Entradas[[#This Row],[Artículo (código)]],Existencias!A:D,4,FALSE))</f>
        <v>Azucar rubia 5 kg</v>
      </c>
      <c r="G201" s="17">
        <v>8</v>
      </c>
      <c r="H201" s="57">
        <f>VLOOKUP(Entradas[[#This Row],[Artículo (código)]],Existencias!A:F,6,FALSE)*Entradas[[#This Row],[Cantidad]]</f>
        <v>127.12</v>
      </c>
      <c r="I201" s="58">
        <f>Entradas[[#This Row],[Precio POR UNIDAD]]*Entradas[[#This Row],[Cantidad]]</f>
        <v>1016.96</v>
      </c>
    </row>
    <row r="202" spans="1:9" x14ac:dyDescent="0.3">
      <c r="A202" s="17"/>
      <c r="B202" s="18">
        <v>46073</v>
      </c>
      <c r="C202" s="17">
        <v>5</v>
      </c>
      <c r="D202" s="17" t="str">
        <f>IF(Entradas[[#This Row],[Proveedor (código)]]="","",VLOOKUP(Entradas[[#This Row],[Proveedor (código)]],Proveedores[[#All],[Código]:[Nombre fiscal]],2,FALSE))</f>
        <v>Almacen Banco de Alimentos</v>
      </c>
      <c r="E202" s="29" t="s">
        <v>919</v>
      </c>
      <c r="F202" s="17" t="str">
        <f>IF(Entradas[[#This Row],[Artículo (código)]]="","",VLOOKUP(Entradas[[#This Row],[Artículo (código)]],Existencias!A:D,4,FALSE))</f>
        <v>Fideos cortos 250 gr</v>
      </c>
      <c r="G202" s="17">
        <v>7</v>
      </c>
      <c r="H202" s="57">
        <f>VLOOKUP(Entradas[[#This Row],[Artículo (código)]],Existencias!A:F,6,FALSE)*Entradas[[#This Row],[Cantidad]]</f>
        <v>18.060000000000002</v>
      </c>
      <c r="I202" s="58">
        <f>Entradas[[#This Row],[Precio POR UNIDAD]]*Entradas[[#This Row],[Cantidad]]</f>
        <v>126.42000000000002</v>
      </c>
    </row>
    <row r="203" spans="1:9" x14ac:dyDescent="0.3">
      <c r="A203" s="17"/>
      <c r="B203" s="18">
        <v>46073</v>
      </c>
      <c r="C203" s="17">
        <v>5</v>
      </c>
      <c r="D203" s="17" t="str">
        <f>IF(Entradas[[#This Row],[Proveedor (código)]]="","",VLOOKUP(Entradas[[#This Row],[Proveedor (código)]],Proveedores[[#All],[Código]:[Nombre fiscal]],2,FALSE))</f>
        <v>Almacen Banco de Alimentos</v>
      </c>
      <c r="E203" s="29" t="s">
        <v>916</v>
      </c>
      <c r="F203" s="17" t="str">
        <f>IF(Entradas[[#This Row],[Artículo (código)]]="","",VLOOKUP(Entradas[[#This Row],[Artículo (código)]],Existencias!A:D,4,FALSE))</f>
        <v>Fideos largos 500 gr</v>
      </c>
      <c r="G203" s="17">
        <v>5</v>
      </c>
      <c r="H203" s="57">
        <f>VLOOKUP(Entradas[[#This Row],[Artículo (código)]],Existencias!A:F,6,FALSE)*Entradas[[#This Row],[Cantidad]]</f>
        <v>13.55</v>
      </c>
      <c r="I203" s="58">
        <f>Entradas[[#This Row],[Precio POR UNIDAD]]*Entradas[[#This Row],[Cantidad]]</f>
        <v>67.75</v>
      </c>
    </row>
    <row r="204" spans="1:9" x14ac:dyDescent="0.3">
      <c r="A204" s="17"/>
      <c r="B204" s="18">
        <v>46073</v>
      </c>
      <c r="C204" s="17">
        <v>5</v>
      </c>
      <c r="D204" s="17" t="str">
        <f>IF(Entradas[[#This Row],[Proveedor (código)]]="","",VLOOKUP(Entradas[[#This Row],[Proveedor (código)]],Proveedores[[#All],[Código]:[Nombre fiscal]],2,FALSE))</f>
        <v>Almacen Banco de Alimentos</v>
      </c>
      <c r="E204" s="29" t="s">
        <v>917</v>
      </c>
      <c r="F204" s="17" t="str">
        <f>IF(Entradas[[#This Row],[Artículo (código)]]="","",VLOOKUP(Entradas[[#This Row],[Artículo (código)]],Existencias!A:D,4,FALSE))</f>
        <v>Fideos largos 900 gr</v>
      </c>
      <c r="G204" s="17">
        <v>3</v>
      </c>
      <c r="H204" s="57">
        <f>VLOOKUP(Entradas[[#This Row],[Artículo (código)]],Existencias!A:F,6,FALSE)*Entradas[[#This Row],[Cantidad]]</f>
        <v>14.25</v>
      </c>
      <c r="I204" s="58">
        <f>Entradas[[#This Row],[Precio POR UNIDAD]]*Entradas[[#This Row],[Cantidad]]</f>
        <v>42.75</v>
      </c>
    </row>
    <row r="205" spans="1:9" x14ac:dyDescent="0.3">
      <c r="A205" s="17"/>
      <c r="B205" s="18">
        <v>46076</v>
      </c>
      <c r="C205" s="17">
        <v>4</v>
      </c>
      <c r="D205" s="17" t="str">
        <f>IF(Entradas[[#This Row],[Proveedor (código)]]="","",VLOOKUP(Entradas[[#This Row],[Proveedor (código)]],Proveedores[[#All],[Código]:[Nombre fiscal]],2,FALSE))</f>
        <v>Metro B.A</v>
      </c>
      <c r="E205" s="29" t="s">
        <v>800</v>
      </c>
      <c r="F205" s="17" t="str">
        <f>IF(Entradas[[#This Row],[Artículo (código)]]="","",VLOOKUP(Entradas[[#This Row],[Artículo (código)]],Existencias!A:D,4,FALSE))</f>
        <v xml:space="preserve">Arroz 5 kg </v>
      </c>
      <c r="G205" s="17">
        <v>4</v>
      </c>
      <c r="H205" s="57">
        <f>VLOOKUP(Entradas[[#This Row],[Artículo (código)]],Existencias!A:F,6,FALSE)*Entradas[[#This Row],[Cantidad]]</f>
        <v>99.8</v>
      </c>
      <c r="I205" s="58">
        <f>Entradas[[#This Row],[Precio POR UNIDAD]]*Entradas[[#This Row],[Cantidad]]</f>
        <v>399.2</v>
      </c>
    </row>
    <row r="206" spans="1:9" x14ac:dyDescent="0.3">
      <c r="A206" s="17"/>
      <c r="B206" s="18">
        <v>46076</v>
      </c>
      <c r="C206" s="17">
        <v>4</v>
      </c>
      <c r="D206" s="17" t="str">
        <f>IF(Entradas[[#This Row],[Proveedor (código)]]="","",VLOOKUP(Entradas[[#This Row],[Proveedor (código)]],Proveedores[[#All],[Código]:[Nombre fiscal]],2,FALSE))</f>
        <v>Metro B.A</v>
      </c>
      <c r="E206" s="29" t="s">
        <v>753</v>
      </c>
      <c r="F206" s="17" t="str">
        <f>IF(Entradas[[#This Row],[Artículo (código)]]="","",VLOOKUP(Entradas[[#This Row],[Artículo (código)]],Existencias!A:D,4,FALSE))</f>
        <v>Azucar rubia 1kg</v>
      </c>
      <c r="G206" s="17">
        <v>1</v>
      </c>
      <c r="H206" s="57">
        <f>VLOOKUP(Entradas[[#This Row],[Artículo (código)]],Existencias!A:F,6,FALSE)*Entradas[[#This Row],[Cantidad]]</f>
        <v>3.29</v>
      </c>
      <c r="I206" s="58">
        <f>Entradas[[#This Row],[Precio POR UNIDAD]]*Entradas[[#This Row],[Cantidad]]</f>
        <v>3.29</v>
      </c>
    </row>
    <row r="207" spans="1:9" x14ac:dyDescent="0.3">
      <c r="A207" s="17"/>
      <c r="B207" s="18">
        <v>46076</v>
      </c>
      <c r="C207" s="17">
        <v>4</v>
      </c>
      <c r="D207" s="17" t="str">
        <f>IF(Entradas[[#This Row],[Proveedor (código)]]="","",VLOOKUP(Entradas[[#This Row],[Proveedor (código)]],Proveedores[[#All],[Código]:[Nombre fiscal]],2,FALSE))</f>
        <v>Metro B.A</v>
      </c>
      <c r="E207" s="29" t="s">
        <v>919</v>
      </c>
      <c r="F207" s="17" t="str">
        <f>IF(Entradas[[#This Row],[Artículo (código)]]="","",VLOOKUP(Entradas[[#This Row],[Artículo (código)]],Existencias!A:D,4,FALSE))</f>
        <v>Fideos cortos 250 gr</v>
      </c>
      <c r="G207" s="17">
        <v>5</v>
      </c>
      <c r="H207" s="57">
        <f>VLOOKUP(Entradas[[#This Row],[Artículo (código)]],Existencias!A:F,6,FALSE)*Entradas[[#This Row],[Cantidad]]</f>
        <v>12.9</v>
      </c>
      <c r="I207" s="58">
        <f>Entradas[[#This Row],[Precio POR UNIDAD]]*Entradas[[#This Row],[Cantidad]]</f>
        <v>64.5</v>
      </c>
    </row>
    <row r="208" spans="1:9" x14ac:dyDescent="0.3">
      <c r="A208" s="17"/>
      <c r="B208" s="18">
        <v>46076</v>
      </c>
      <c r="C208" s="17">
        <v>4</v>
      </c>
      <c r="D208" s="17" t="str">
        <f>IF(Entradas[[#This Row],[Proveedor (código)]]="","",VLOOKUP(Entradas[[#This Row],[Proveedor (código)]],Proveedores[[#All],[Código]:[Nombre fiscal]],2,FALSE))</f>
        <v>Metro B.A</v>
      </c>
      <c r="E208" s="29" t="s">
        <v>749</v>
      </c>
      <c r="F208" s="17" t="str">
        <f>IF(Entradas[[#This Row],[Artículo (código)]]="","",VLOOKUP(Entradas[[#This Row],[Artículo (código)]],Existencias!A:D,4,FALSE))</f>
        <v>Azucar blanca 5 kg</v>
      </c>
      <c r="G208" s="17">
        <v>2</v>
      </c>
      <c r="H208" s="57">
        <f>VLOOKUP(Entradas[[#This Row],[Artículo (código)]],Existencias!A:F,6,FALSE)*Entradas[[#This Row],[Cantidad]]</f>
        <v>35.380000000000003</v>
      </c>
      <c r="I208" s="58">
        <f>Entradas[[#This Row],[Precio POR UNIDAD]]*Entradas[[#This Row],[Cantidad]]</f>
        <v>70.760000000000005</v>
      </c>
    </row>
    <row r="209" spans="1:9" x14ac:dyDescent="0.3">
      <c r="A209" s="17"/>
      <c r="B209" s="18">
        <v>46076</v>
      </c>
      <c r="C209" s="17">
        <v>4</v>
      </c>
      <c r="D209" s="17" t="str">
        <f>IF(Entradas[[#This Row],[Proveedor (código)]]="","",VLOOKUP(Entradas[[#This Row],[Proveedor (código)]],Proveedores[[#All],[Código]:[Nombre fiscal]],2,FALSE))</f>
        <v>Metro B.A</v>
      </c>
      <c r="E209" s="29" t="s">
        <v>896</v>
      </c>
      <c r="F209" s="17" t="str">
        <f>IF(Entradas[[#This Row],[Artículo (código)]]="","",VLOOKUP(Entradas[[#This Row],[Artículo (código)]],Existencias!A:D,4,FALSE))</f>
        <v>Duraznos en mitades 820 gr</v>
      </c>
      <c r="G209" s="17">
        <v>1</v>
      </c>
      <c r="H209" s="57">
        <f>VLOOKUP(Entradas[[#This Row],[Artículo (código)]],Existencias!A:F,6,FALSE)*Entradas[[#This Row],[Cantidad]]</f>
        <v>8.73</v>
      </c>
      <c r="I209" s="58">
        <f>Entradas[[#This Row],[Precio POR UNIDAD]]*Entradas[[#This Row],[Cantidad]]</f>
        <v>8.73</v>
      </c>
    </row>
    <row r="210" spans="1:9" x14ac:dyDescent="0.3">
      <c r="A210" s="17"/>
      <c r="B210" s="18">
        <v>46076</v>
      </c>
      <c r="C210" s="17">
        <v>4</v>
      </c>
      <c r="D210" s="17" t="str">
        <f>IF(Entradas[[#This Row],[Proveedor (código)]]="","",VLOOKUP(Entradas[[#This Row],[Proveedor (código)]],Proveedores[[#All],[Código]:[Nombre fiscal]],2,FALSE))</f>
        <v>Metro B.A</v>
      </c>
      <c r="E210" s="29" t="s">
        <v>694</v>
      </c>
      <c r="F210" s="17" t="str">
        <f>IF(Entradas[[#This Row],[Artículo (código)]]="","",VLOOKUP(Entradas[[#This Row],[Artículo (código)]],Existencias!A:D,4,FALSE))</f>
        <v>Aceite Vegetal 900 ml</v>
      </c>
      <c r="G210" s="17">
        <v>2</v>
      </c>
      <c r="H210" s="57">
        <f>VLOOKUP(Entradas[[#This Row],[Artículo (código)]],Existencias!A:F,6,FALSE)*Entradas[[#This Row],[Cantidad]]</f>
        <v>9.52</v>
      </c>
      <c r="I210" s="58">
        <f>Entradas[[#This Row],[Precio POR UNIDAD]]*Entradas[[#This Row],[Cantidad]]</f>
        <v>19.04</v>
      </c>
    </row>
    <row r="211" spans="1:9" x14ac:dyDescent="0.3">
      <c r="A211" s="17"/>
      <c r="B211" s="18">
        <v>46076</v>
      </c>
      <c r="C211" s="17">
        <v>4</v>
      </c>
      <c r="D211" s="17" t="str">
        <f>IF(Entradas[[#This Row],[Proveedor (código)]]="","",VLOOKUP(Entradas[[#This Row],[Proveedor (código)]],Proveedores[[#All],[Código]:[Nombre fiscal]],2,FALSE))</f>
        <v>Metro B.A</v>
      </c>
      <c r="E211" s="29" t="s">
        <v>916</v>
      </c>
      <c r="F211" s="17" t="str">
        <f>IF(Entradas[[#This Row],[Artículo (código)]]="","",VLOOKUP(Entradas[[#This Row],[Artículo (código)]],Existencias!A:D,4,FALSE))</f>
        <v>Fideos largos 500 gr</v>
      </c>
      <c r="G211" s="17">
        <v>4</v>
      </c>
      <c r="H211" s="57">
        <f>VLOOKUP(Entradas[[#This Row],[Artículo (código)]],Existencias!A:F,6,FALSE)*Entradas[[#This Row],[Cantidad]]</f>
        <v>10.84</v>
      </c>
      <c r="I211" s="58">
        <f>Entradas[[#This Row],[Precio POR UNIDAD]]*Entradas[[#This Row],[Cantidad]]</f>
        <v>43.36</v>
      </c>
    </row>
    <row r="212" spans="1:9" x14ac:dyDescent="0.3">
      <c r="A212" s="17"/>
      <c r="B212" s="18">
        <v>46076</v>
      </c>
      <c r="C212" s="17">
        <v>4</v>
      </c>
      <c r="D212" s="17" t="str">
        <f>IF(Entradas[[#This Row],[Proveedor (código)]]="","",VLOOKUP(Entradas[[#This Row],[Proveedor (código)]],Proveedores[[#All],[Código]:[Nombre fiscal]],2,FALSE))</f>
        <v>Metro B.A</v>
      </c>
      <c r="E212" s="29" t="s">
        <v>917</v>
      </c>
      <c r="F212" s="17" t="str">
        <f>IF(Entradas[[#This Row],[Artículo (código)]]="","",VLOOKUP(Entradas[[#This Row],[Artículo (código)]],Existencias!A:D,4,FALSE))</f>
        <v>Fideos largos 900 gr</v>
      </c>
      <c r="G212" s="17">
        <v>5</v>
      </c>
      <c r="H212" s="57">
        <f>VLOOKUP(Entradas[[#This Row],[Artículo (código)]],Existencias!A:F,6,FALSE)*Entradas[[#This Row],[Cantidad]]</f>
        <v>23.75</v>
      </c>
      <c r="I212" s="58">
        <f>Entradas[[#This Row],[Precio POR UNIDAD]]*Entradas[[#This Row],[Cantidad]]</f>
        <v>118.75</v>
      </c>
    </row>
    <row r="213" spans="1:9" x14ac:dyDescent="0.3">
      <c r="A213" s="17"/>
      <c r="B213" s="18">
        <v>46076</v>
      </c>
      <c r="C213" s="17">
        <v>4</v>
      </c>
      <c r="D213" s="17" t="str">
        <f>IF(Entradas[[#This Row],[Proveedor (código)]]="","",VLOOKUP(Entradas[[#This Row],[Proveedor (código)]],Proveedores[[#All],[Código]:[Nombre fiscal]],2,FALSE))</f>
        <v>Metro B.A</v>
      </c>
      <c r="E213" s="29" t="s">
        <v>799</v>
      </c>
      <c r="F213" s="17" t="str">
        <f>IF(Entradas[[#This Row],[Artículo (código)]]="","",VLOOKUP(Entradas[[#This Row],[Artículo (código)]],Existencias!A:D,4,FALSE))</f>
        <v>Arroz 1 kg</v>
      </c>
      <c r="G213" s="17">
        <v>1</v>
      </c>
      <c r="H213" s="57">
        <f>VLOOKUP(Entradas[[#This Row],[Artículo (código)]],Existencias!A:F,6,FALSE)*Entradas[[#This Row],[Cantidad]]</f>
        <v>4.7300000000000004</v>
      </c>
      <c r="I213" s="58">
        <f>Entradas[[#This Row],[Precio POR UNIDAD]]*Entradas[[#This Row],[Cantidad]]</f>
        <v>4.7300000000000004</v>
      </c>
    </row>
    <row r="214" spans="1:9" x14ac:dyDescent="0.3">
      <c r="A214" s="17"/>
      <c r="B214" s="18">
        <v>46076</v>
      </c>
      <c r="C214" s="17">
        <v>4</v>
      </c>
      <c r="D214" s="17" t="str">
        <f>IF(Entradas[[#This Row],[Proveedor (código)]]="","",VLOOKUP(Entradas[[#This Row],[Proveedor (código)]],Proveedores[[#All],[Código]:[Nombre fiscal]],2,FALSE))</f>
        <v>Metro B.A</v>
      </c>
      <c r="E214" s="29" t="s">
        <v>1219</v>
      </c>
      <c r="F214" s="17" t="str">
        <f>IF(Entradas[[#This Row],[Artículo (código)]]="","",VLOOKUP(Entradas[[#This Row],[Artículo (código)]],Existencias!A:D,4,FALSE))</f>
        <v>Papa Seca 500 gr</v>
      </c>
      <c r="G214" s="17">
        <v>1</v>
      </c>
      <c r="H214" s="57">
        <f>VLOOKUP(Entradas[[#This Row],[Artículo (código)]],Existencias!A:F,6,FALSE)*Entradas[[#This Row],[Cantidad]]</f>
        <v>5.79</v>
      </c>
      <c r="I214" s="58">
        <f>Entradas[[#This Row],[Precio POR UNIDAD]]*Entradas[[#This Row],[Cantidad]]</f>
        <v>5.79</v>
      </c>
    </row>
    <row r="215" spans="1:9" x14ac:dyDescent="0.3">
      <c r="A215" s="17"/>
      <c r="B215" s="18">
        <v>46076</v>
      </c>
      <c r="C215" s="17">
        <v>4</v>
      </c>
      <c r="D215" s="17" t="str">
        <f>IF(Entradas[[#This Row],[Proveedor (código)]]="","",VLOOKUP(Entradas[[#This Row],[Proveedor (código)]],Proveedores[[#All],[Código]:[Nombre fiscal]],2,FALSE))</f>
        <v>Metro B.A</v>
      </c>
      <c r="E215" s="29" t="s">
        <v>693</v>
      </c>
      <c r="F215" s="17" t="str">
        <f>IF(Entradas[[#This Row],[Artículo (código)]]="","",VLOOKUP(Entradas[[#This Row],[Artículo (código)]],Existencias!A:D,4,FALSE))</f>
        <v>Arverja partida 500 gr</v>
      </c>
      <c r="G215" s="17">
        <v>1</v>
      </c>
      <c r="H215" s="57">
        <f>VLOOKUP(Entradas[[#This Row],[Artículo (código)]],Existencias!A:F,6,FALSE)*Entradas[[#This Row],[Cantidad]]</f>
        <v>3.9</v>
      </c>
      <c r="I215" s="58">
        <f>Entradas[[#This Row],[Precio POR UNIDAD]]*Entradas[[#This Row],[Cantidad]]</f>
        <v>3.9</v>
      </c>
    </row>
    <row r="216" spans="1:9" x14ac:dyDescent="0.3">
      <c r="A216" s="17"/>
      <c r="B216" s="18">
        <v>46076</v>
      </c>
      <c r="C216" s="17">
        <v>4</v>
      </c>
      <c r="D216" s="17" t="str">
        <f>IF(Entradas[[#This Row],[Proveedor (código)]]="","",VLOOKUP(Entradas[[#This Row],[Proveedor (código)]],Proveedores[[#All],[Código]:[Nombre fiscal]],2,FALSE))</f>
        <v>Metro B.A</v>
      </c>
      <c r="E216" s="29" t="s">
        <v>1196</v>
      </c>
      <c r="F216" s="17" t="str">
        <f>IF(Entradas[[#This Row],[Artículo (código)]]="","",VLOOKUP(Entradas[[#This Row],[Artículo (código)]],Existencias!A:D,4,FALSE))</f>
        <v>Lenteja 500 gr</v>
      </c>
      <c r="G216" s="17">
        <v>1</v>
      </c>
      <c r="H216" s="57">
        <f>VLOOKUP(Entradas[[#This Row],[Artículo (código)]],Existencias!A:F,6,FALSE)*Entradas[[#This Row],[Cantidad]]</f>
        <v>2.92</v>
      </c>
      <c r="I216" s="58">
        <f>Entradas[[#This Row],[Precio POR UNIDAD]]*Entradas[[#This Row],[Cantidad]]</f>
        <v>2.92</v>
      </c>
    </row>
    <row r="217" spans="1:9" x14ac:dyDescent="0.3">
      <c r="A217" s="17"/>
      <c r="B217" s="18">
        <v>46076</v>
      </c>
      <c r="C217" s="17">
        <v>4</v>
      </c>
      <c r="D217" s="17" t="str">
        <f>IF(Entradas[[#This Row],[Proveedor (código)]]="","",VLOOKUP(Entradas[[#This Row],[Proveedor (código)]],Proveedores[[#All],[Código]:[Nombre fiscal]],2,FALSE))</f>
        <v>Metro B.A</v>
      </c>
      <c r="E217" s="29" t="s">
        <v>885</v>
      </c>
      <c r="F217" s="17" t="str">
        <f>IF(Entradas[[#This Row],[Artículo (código)]]="","",VLOOKUP(Entradas[[#This Row],[Artículo (código)]],Existencias!A:D,4,FALSE))</f>
        <v>Filete de atun aceite lata</v>
      </c>
      <c r="G217" s="17">
        <v>1</v>
      </c>
      <c r="H217" s="57">
        <f>VLOOKUP(Entradas[[#This Row],[Artículo (código)]],Existencias!A:F,6,FALSE)*Entradas[[#This Row],[Cantidad]]</f>
        <v>4.12</v>
      </c>
      <c r="I217" s="58">
        <f>Entradas[[#This Row],[Precio POR UNIDAD]]*Entradas[[#This Row],[Cantidad]]</f>
        <v>4.12</v>
      </c>
    </row>
    <row r="218" spans="1:9" x14ac:dyDescent="0.3">
      <c r="A218" s="17"/>
      <c r="B218" s="18">
        <v>46076</v>
      </c>
      <c r="C218" s="17">
        <v>4</v>
      </c>
      <c r="D218" s="17" t="str">
        <f>IF(Entradas[[#This Row],[Proveedor (código)]]="","",VLOOKUP(Entradas[[#This Row],[Proveedor (código)]],Proveedores[[#All],[Código]:[Nombre fiscal]],2,FALSE))</f>
        <v>Metro B.A</v>
      </c>
      <c r="E218" s="29" t="s">
        <v>784</v>
      </c>
      <c r="F218" s="17" t="str">
        <f>IF(Entradas[[#This Row],[Artículo (código)]]="","",VLOOKUP(Entradas[[#This Row],[Artículo (código)]],Existencias!A:D,4,FALSE))</f>
        <v>Medallon de lomo</v>
      </c>
      <c r="G218" s="17">
        <v>0.79</v>
      </c>
      <c r="H218" s="57">
        <f>VLOOKUP(Entradas[[#This Row],[Artículo (código)]],Existencias!A:F,6,FALSE)*Entradas[[#This Row],[Cantidad]]</f>
        <v>0</v>
      </c>
      <c r="I218" s="58">
        <f>Entradas[[#This Row],[Precio POR UNIDAD]]*Entradas[[#This Row],[Cantidad]]</f>
        <v>0</v>
      </c>
    </row>
    <row r="219" spans="1:9" x14ac:dyDescent="0.3">
      <c r="A219" s="17"/>
      <c r="B219" s="18">
        <v>46076</v>
      </c>
      <c r="C219" s="17">
        <v>4</v>
      </c>
      <c r="D219" s="17" t="str">
        <f>IF(Entradas[[#This Row],[Proveedor (código)]]="","",VLOOKUP(Entradas[[#This Row],[Proveedor (código)]],Proveedores[[#All],[Código]:[Nombre fiscal]],2,FALSE))</f>
        <v>Metro B.A</v>
      </c>
      <c r="E219" s="29" t="s">
        <v>1319</v>
      </c>
      <c r="F219" s="17" t="str">
        <f>IF(Entradas[[#This Row],[Artículo (código)]]="","",VLOOKUP(Entradas[[#This Row],[Artículo (código)]],Existencias!A:D,4,FALSE))</f>
        <v>Entraña</v>
      </c>
      <c r="G219" s="17">
        <v>1.41</v>
      </c>
      <c r="H219" s="57">
        <f>VLOOKUP(Entradas[[#This Row],[Artículo (código)]],Existencias!A:F,6,FALSE)*Entradas[[#This Row],[Cantidad]]</f>
        <v>0</v>
      </c>
      <c r="I219" s="58">
        <f>Entradas[[#This Row],[Precio POR UNIDAD]]*Entradas[[#This Row],[Cantidad]]</f>
        <v>0</v>
      </c>
    </row>
    <row r="220" spans="1:9" x14ac:dyDescent="0.3">
      <c r="A220" s="17"/>
      <c r="B220" s="18">
        <v>46076</v>
      </c>
      <c r="C220" s="17">
        <v>4</v>
      </c>
      <c r="D220" s="17" t="str">
        <f>IF(Entradas[[#This Row],[Proveedor (código)]]="","",VLOOKUP(Entradas[[#This Row],[Proveedor (código)]],Proveedores[[#All],[Código]:[Nombre fiscal]],2,FALSE))</f>
        <v>Metro B.A</v>
      </c>
      <c r="E220" s="29" t="s">
        <v>745</v>
      </c>
      <c r="F220" s="17" t="str">
        <f>IF(Entradas[[#This Row],[Artículo (código)]]="","",VLOOKUP(Entradas[[#This Row],[Artículo (código)]],Existencias!A:D,4,FALSE))</f>
        <v>Molleja de pollo</v>
      </c>
      <c r="G220" s="17">
        <v>0.85</v>
      </c>
      <c r="H220" s="57">
        <f>VLOOKUP(Entradas[[#This Row],[Artículo (código)]],Existencias!A:F,6,FALSE)*Entradas[[#This Row],[Cantidad]]</f>
        <v>0</v>
      </c>
      <c r="I220" s="58">
        <f>Entradas[[#This Row],[Precio POR UNIDAD]]*Entradas[[#This Row],[Cantidad]]</f>
        <v>0</v>
      </c>
    </row>
    <row r="221" spans="1:9" x14ac:dyDescent="0.3">
      <c r="A221" s="17"/>
      <c r="B221" s="18">
        <v>46076</v>
      </c>
      <c r="C221" s="17">
        <v>4</v>
      </c>
      <c r="D221" s="17" t="str">
        <f>IF(Entradas[[#This Row],[Proveedor (código)]]="","",VLOOKUP(Entradas[[#This Row],[Proveedor (código)]],Proveedores[[#All],[Código]:[Nombre fiscal]],2,FALSE))</f>
        <v>Metro B.A</v>
      </c>
      <c r="E221" s="29" t="s">
        <v>779</v>
      </c>
      <c r="F221" s="17" t="str">
        <f>IF(Entradas[[#This Row],[Artículo (código)]]="","",VLOOKUP(Entradas[[#This Row],[Artículo (código)]],Existencias!A:D,4,FALSE))</f>
        <v>Cerdo saborizado</v>
      </c>
      <c r="G221" s="17">
        <v>2</v>
      </c>
      <c r="H221" s="57">
        <f>VLOOKUP(Entradas[[#This Row],[Artículo (código)]],Existencias!A:F,6,FALSE)*Entradas[[#This Row],[Cantidad]]</f>
        <v>0</v>
      </c>
      <c r="I221" s="58">
        <f>Entradas[[#This Row],[Precio POR UNIDAD]]*Entradas[[#This Row],[Cantidad]]</f>
        <v>0</v>
      </c>
    </row>
    <row r="222" spans="1:9" x14ac:dyDescent="0.3">
      <c r="A222" s="17"/>
      <c r="B222" s="18">
        <v>46076</v>
      </c>
      <c r="C222" s="17">
        <v>4</v>
      </c>
      <c r="D222" s="17" t="str">
        <f>IF(Entradas[[#This Row],[Proveedor (código)]]="","",VLOOKUP(Entradas[[#This Row],[Proveedor (código)]],Proveedores[[#All],[Código]:[Nombre fiscal]],2,FALSE))</f>
        <v>Metro B.A</v>
      </c>
      <c r="E222" s="29" t="s">
        <v>1306</v>
      </c>
      <c r="F222" s="17" t="str">
        <f>IF(Entradas[[#This Row],[Artículo (código)]]="","",VLOOKUP(Entradas[[#This Row],[Artículo (código)]],Existencias!A:D,4,FALSE))</f>
        <v>Punta de pecho</v>
      </c>
      <c r="G222" s="17">
        <v>0.79</v>
      </c>
      <c r="H222" s="57">
        <f>VLOOKUP(Entradas[[#This Row],[Artículo (código)]],Existencias!A:F,6,FALSE)*Entradas[[#This Row],[Cantidad]]</f>
        <v>0</v>
      </c>
      <c r="I222" s="58">
        <f>Entradas[[#This Row],[Precio POR UNIDAD]]*Entradas[[#This Row],[Cantidad]]</f>
        <v>0</v>
      </c>
    </row>
    <row r="223" spans="1:9" x14ac:dyDescent="0.3">
      <c r="A223" s="17"/>
      <c r="B223" s="18">
        <v>46076</v>
      </c>
      <c r="C223" s="17">
        <v>4</v>
      </c>
      <c r="D223" s="17" t="str">
        <f>IF(Entradas[[#This Row],[Proveedor (código)]]="","",VLOOKUP(Entradas[[#This Row],[Proveedor (código)]],Proveedores[[#All],[Código]:[Nombre fiscal]],2,FALSE))</f>
        <v>Metro B.A</v>
      </c>
      <c r="E223" s="29" t="s">
        <v>776</v>
      </c>
      <c r="F223" s="17" t="str">
        <f>IF(Entradas[[#This Row],[Artículo (código)]]="","",VLOOKUP(Entradas[[#This Row],[Artículo (código)]],Existencias!A:D,4,FALSE))</f>
        <v>chuleta de lomo</v>
      </c>
      <c r="G223" s="17">
        <v>0.79</v>
      </c>
      <c r="H223" s="57">
        <f>VLOOKUP(Entradas[[#This Row],[Artículo (código)]],Existencias!A:F,6,FALSE)*Entradas[[#This Row],[Cantidad]]</f>
        <v>0</v>
      </c>
      <c r="I223" s="58">
        <f>Entradas[[#This Row],[Precio POR UNIDAD]]*Entradas[[#This Row],[Cantidad]]</f>
        <v>0</v>
      </c>
    </row>
    <row r="224" spans="1:9" x14ac:dyDescent="0.3">
      <c r="A224" s="17"/>
      <c r="B224" s="18">
        <v>46076</v>
      </c>
      <c r="C224" s="17">
        <v>4</v>
      </c>
      <c r="D224" s="17" t="str">
        <f>IF(Entradas[[#This Row],[Proveedor (código)]]="","",VLOOKUP(Entradas[[#This Row],[Proveedor (código)]],Proveedores[[#All],[Código]:[Nombre fiscal]],2,FALSE))</f>
        <v>Metro B.A</v>
      </c>
      <c r="E224" s="29" t="s">
        <v>953</v>
      </c>
      <c r="F224" s="17" t="str">
        <f>IF(Entradas[[#This Row],[Artículo (código)]]="","",VLOOKUP(Entradas[[#This Row],[Artículo (código)]],Existencias!A:D,4,FALSE))</f>
        <v xml:space="preserve">GELATINA DIETETICA </v>
      </c>
      <c r="G224" s="17">
        <v>6</v>
      </c>
      <c r="H224" s="57">
        <f>VLOOKUP(Entradas[[#This Row],[Artículo (código)]],Existencias!A:F,6,FALSE)*Entradas[[#This Row],[Cantidad]]</f>
        <v>0</v>
      </c>
      <c r="I224" s="58">
        <f>Entradas[[#This Row],[Precio POR UNIDAD]]*Entradas[[#This Row],[Cantidad]]</f>
        <v>0</v>
      </c>
    </row>
    <row r="225" spans="1:9" x14ac:dyDescent="0.3">
      <c r="A225" s="17"/>
      <c r="B225" s="18">
        <v>46076</v>
      </c>
      <c r="C225" s="17">
        <v>4</v>
      </c>
      <c r="D225" s="17" t="str">
        <f>IF(Entradas[[#This Row],[Proveedor (código)]]="","",VLOOKUP(Entradas[[#This Row],[Proveedor (código)]],Proveedores[[#All],[Código]:[Nombre fiscal]],2,FALSE))</f>
        <v>Metro B.A</v>
      </c>
      <c r="E225" s="29" t="s">
        <v>916</v>
      </c>
      <c r="F225" s="17" t="str">
        <f>IF(Entradas[[#This Row],[Artículo (código)]]="","",VLOOKUP(Entradas[[#This Row],[Artículo (código)]],Existencias!A:D,4,FALSE))</f>
        <v>Fideos largos 500 gr</v>
      </c>
      <c r="G225" s="17">
        <v>1</v>
      </c>
      <c r="H225" s="57">
        <f>VLOOKUP(Entradas[[#This Row],[Artículo (código)]],Existencias!A:F,6,FALSE)*Entradas[[#This Row],[Cantidad]]</f>
        <v>2.71</v>
      </c>
      <c r="I225" s="58">
        <f>Entradas[[#This Row],[Precio POR UNIDAD]]*Entradas[[#This Row],[Cantidad]]</f>
        <v>2.71</v>
      </c>
    </row>
    <row r="226" spans="1:9" x14ac:dyDescent="0.3">
      <c r="A226" s="17"/>
      <c r="B226" s="18">
        <v>46076</v>
      </c>
      <c r="C226" s="17">
        <v>4</v>
      </c>
      <c r="D226" s="17" t="str">
        <f>IF(Entradas[[#This Row],[Proveedor (código)]]="","",VLOOKUP(Entradas[[#This Row],[Proveedor (código)]],Proveedores[[#All],[Código]:[Nombre fiscal]],2,FALSE))</f>
        <v>Metro B.A</v>
      </c>
      <c r="E226" s="29" t="s">
        <v>1186</v>
      </c>
      <c r="F226" s="17" t="str">
        <f>IF(Entradas[[#This Row],[Artículo (código)]]="","",VLOOKUP(Entradas[[#This Row],[Artículo (código)]],Existencias!A:D,4,FALSE))</f>
        <v>Frejol Panamito 500 gr</v>
      </c>
      <c r="G226" s="17">
        <v>1</v>
      </c>
      <c r="H226" s="57">
        <f>VLOOKUP(Entradas[[#This Row],[Artículo (código)]],Existencias!A:F,6,FALSE)*Entradas[[#This Row],[Cantidad]]</f>
        <v>6.89</v>
      </c>
      <c r="I226" s="58">
        <f>Entradas[[#This Row],[Precio POR UNIDAD]]*Entradas[[#This Row],[Cantidad]]</f>
        <v>6.89</v>
      </c>
    </row>
    <row r="227" spans="1:9" x14ac:dyDescent="0.3">
      <c r="A227" s="17"/>
      <c r="B227" s="18">
        <v>46076</v>
      </c>
      <c r="C227" s="17">
        <v>4</v>
      </c>
      <c r="D227" s="17" t="str">
        <f>IF(Entradas[[#This Row],[Proveedor (código)]]="","",VLOOKUP(Entradas[[#This Row],[Proveedor (código)]],Proveedores[[#All],[Código]:[Nombre fiscal]],2,FALSE))</f>
        <v>Metro B.A</v>
      </c>
      <c r="E227" s="29" t="s">
        <v>1226</v>
      </c>
      <c r="F227" s="17" t="str">
        <f>IF(Entradas[[#This Row],[Artículo (código)]]="","",VLOOKUP(Entradas[[#This Row],[Artículo (código)]],Existencias!A:D,4,FALSE))</f>
        <v>Quinua 500 gr</v>
      </c>
      <c r="G227" s="17">
        <v>1</v>
      </c>
      <c r="H227" s="57">
        <f>VLOOKUP(Entradas[[#This Row],[Artículo (código)]],Existencias!A:F,6,FALSE)*Entradas[[#This Row],[Cantidad]]</f>
        <v>8.2100000000000009</v>
      </c>
      <c r="I227" s="58">
        <f>Entradas[[#This Row],[Precio POR UNIDAD]]*Entradas[[#This Row],[Cantidad]]</f>
        <v>8.2100000000000009</v>
      </c>
    </row>
    <row r="228" spans="1:9" x14ac:dyDescent="0.3">
      <c r="A228" s="17"/>
      <c r="B228" s="18">
        <v>46076</v>
      </c>
      <c r="C228" s="17">
        <v>4</v>
      </c>
      <c r="D228" s="17" t="str">
        <f>IF(Entradas[[#This Row],[Proveedor (código)]]="","",VLOOKUP(Entradas[[#This Row],[Proveedor (código)]],Proveedores[[#All],[Código]:[Nombre fiscal]],2,FALSE))</f>
        <v>Metro B.A</v>
      </c>
      <c r="E228" s="29" t="s">
        <v>799</v>
      </c>
      <c r="F228" s="17" t="str">
        <f>IF(Entradas[[#This Row],[Artículo (código)]]="","",VLOOKUP(Entradas[[#This Row],[Artículo (código)]],Existencias!A:D,4,FALSE))</f>
        <v>Arroz 1 kg</v>
      </c>
      <c r="G228" s="17">
        <v>3</v>
      </c>
      <c r="H228" s="57">
        <f>VLOOKUP(Entradas[[#This Row],[Artículo (código)]],Existencias!A:F,6,FALSE)*Entradas[[#This Row],[Cantidad]]</f>
        <v>14.190000000000001</v>
      </c>
      <c r="I228" s="58">
        <f>Entradas[[#This Row],[Precio POR UNIDAD]]*Entradas[[#This Row],[Cantidad]]</f>
        <v>42.570000000000007</v>
      </c>
    </row>
    <row r="229" spans="1:9" x14ac:dyDescent="0.3">
      <c r="A229" s="17"/>
      <c r="B229" s="18">
        <v>46076</v>
      </c>
      <c r="C229" s="17">
        <v>4</v>
      </c>
      <c r="D229" s="17" t="str">
        <f>IF(Entradas[[#This Row],[Proveedor (código)]]="","",VLOOKUP(Entradas[[#This Row],[Proveedor (código)]],Proveedores[[#All],[Código]:[Nombre fiscal]],2,FALSE))</f>
        <v>Metro B.A</v>
      </c>
      <c r="E229" s="29" t="s">
        <v>804</v>
      </c>
      <c r="F229" s="17" t="str">
        <f>IF(Entradas[[#This Row],[Artículo (código)]]="","",VLOOKUP(Entradas[[#This Row],[Artículo (código)]],Existencias!A:D,4,FALSE))</f>
        <v>Arroz Integral 1 kg</v>
      </c>
      <c r="G229" s="17">
        <v>1</v>
      </c>
      <c r="H229" s="57">
        <f>VLOOKUP(Entradas[[#This Row],[Artículo (código)]],Existencias!A:F,6,FALSE)*Entradas[[#This Row],[Cantidad]]</f>
        <v>4.6900000000000004</v>
      </c>
      <c r="I229" s="58">
        <f>Entradas[[#This Row],[Precio POR UNIDAD]]*Entradas[[#This Row],[Cantidad]]</f>
        <v>4.6900000000000004</v>
      </c>
    </row>
    <row r="230" spans="1:9" x14ac:dyDescent="0.3">
      <c r="A230" s="17"/>
      <c r="B230" s="18">
        <v>46076</v>
      </c>
      <c r="C230" s="17">
        <v>4</v>
      </c>
      <c r="D230" s="17" t="str">
        <f>IF(Entradas[[#This Row],[Proveedor (código)]]="","",VLOOKUP(Entradas[[#This Row],[Proveedor (código)]],Proveedores[[#All],[Código]:[Nombre fiscal]],2,FALSE))</f>
        <v>Metro B.A</v>
      </c>
      <c r="E230" s="29" t="s">
        <v>917</v>
      </c>
      <c r="F230" s="17" t="str">
        <f>IF(Entradas[[#This Row],[Artículo (código)]]="","",VLOOKUP(Entradas[[#This Row],[Artículo (código)]],Existencias!A:D,4,FALSE))</f>
        <v>Fideos largos 900 gr</v>
      </c>
      <c r="G230" s="17">
        <v>2</v>
      </c>
      <c r="H230" s="57">
        <f>VLOOKUP(Entradas[[#This Row],[Artículo (código)]],Existencias!A:F,6,FALSE)*Entradas[[#This Row],[Cantidad]]</f>
        <v>9.5</v>
      </c>
      <c r="I230" s="58">
        <f>Entradas[[#This Row],[Precio POR UNIDAD]]*Entradas[[#This Row],[Cantidad]]</f>
        <v>19</v>
      </c>
    </row>
    <row r="231" spans="1:9" x14ac:dyDescent="0.3">
      <c r="A231" s="17"/>
      <c r="B231" s="18">
        <v>46076</v>
      </c>
      <c r="C231" s="17">
        <v>4</v>
      </c>
      <c r="D231" s="17" t="str">
        <f>IF(Entradas[[#This Row],[Proveedor (código)]]="","",VLOOKUP(Entradas[[#This Row],[Proveedor (código)]],Proveedores[[#All],[Código]:[Nombre fiscal]],2,FALSE))</f>
        <v>Metro B.A</v>
      </c>
      <c r="E231" s="29" t="s">
        <v>919</v>
      </c>
      <c r="F231" s="17" t="str">
        <f>IF(Entradas[[#This Row],[Artículo (código)]]="","",VLOOKUP(Entradas[[#This Row],[Artículo (código)]],Existencias!A:D,4,FALSE))</f>
        <v>Fideos cortos 250 gr</v>
      </c>
      <c r="G231" s="17">
        <v>2</v>
      </c>
      <c r="H231" s="57">
        <f>VLOOKUP(Entradas[[#This Row],[Artículo (código)]],Existencias!A:F,6,FALSE)*Entradas[[#This Row],[Cantidad]]</f>
        <v>5.16</v>
      </c>
      <c r="I231" s="58">
        <f>Entradas[[#This Row],[Precio POR UNIDAD]]*Entradas[[#This Row],[Cantidad]]</f>
        <v>10.32</v>
      </c>
    </row>
    <row r="232" spans="1:9" x14ac:dyDescent="0.3">
      <c r="A232" s="17"/>
      <c r="B232" s="18">
        <v>46076</v>
      </c>
      <c r="C232" s="17">
        <v>4</v>
      </c>
      <c r="D232" s="17" t="str">
        <f>IF(Entradas[[#This Row],[Proveedor (código)]]="","",VLOOKUP(Entradas[[#This Row],[Proveedor (código)]],Proveedores[[#All],[Código]:[Nombre fiscal]],2,FALSE))</f>
        <v>Metro B.A</v>
      </c>
      <c r="E232" s="29" t="s">
        <v>923</v>
      </c>
      <c r="F232" s="17" t="e">
        <f>IF(Entradas[[#This Row],[Artículo (código)]]="","",VLOOKUP(Entradas[[#This Row],[Artículo (código)]],Existencias!A:D,4,FALSE))</f>
        <v>#N/A</v>
      </c>
      <c r="G232" s="17">
        <v>1</v>
      </c>
      <c r="H232" s="57" t="e">
        <f>VLOOKUP(Entradas[[#This Row],[Artículo (código)]],Existencias!A:F,6,FALSE)*Entradas[[#This Row],[Cantidad]]</f>
        <v>#N/A</v>
      </c>
      <c r="I232" s="58" t="e">
        <f>Entradas[[#This Row],[Precio POR UNIDAD]]*Entradas[[#This Row],[Cantidad]]</f>
        <v>#N/A</v>
      </c>
    </row>
    <row r="233" spans="1:9" x14ac:dyDescent="0.3">
      <c r="A233" s="17"/>
      <c r="B233" s="18">
        <v>46076</v>
      </c>
      <c r="C233" s="17">
        <v>4</v>
      </c>
      <c r="D233" s="17" t="str">
        <f>IF(Entradas[[#This Row],[Proveedor (código)]]="","",VLOOKUP(Entradas[[#This Row],[Proveedor (código)]],Proveedores[[#All],[Código]:[Nombre fiscal]],2,FALSE))</f>
        <v>Metro B.A</v>
      </c>
      <c r="E233" s="29" t="s">
        <v>754</v>
      </c>
      <c r="F233" s="17" t="str">
        <f>IF(Entradas[[#This Row],[Artículo (código)]]="","",VLOOKUP(Entradas[[#This Row],[Artículo (código)]],Existencias!A:D,4,FALSE))</f>
        <v>Azucar rubia 2 kg</v>
      </c>
      <c r="G233" s="17">
        <v>2</v>
      </c>
      <c r="H233" s="57">
        <f>VLOOKUP(Entradas[[#This Row],[Artículo (código)]],Existencias!A:F,6,FALSE)*Entradas[[#This Row],[Cantidad]]</f>
        <v>11.94</v>
      </c>
      <c r="I233" s="58">
        <f>Entradas[[#This Row],[Precio POR UNIDAD]]*Entradas[[#This Row],[Cantidad]]</f>
        <v>23.88</v>
      </c>
    </row>
    <row r="234" spans="1:9" x14ac:dyDescent="0.3">
      <c r="A234" s="17"/>
      <c r="B234" s="18">
        <v>46076</v>
      </c>
      <c r="C234" s="17">
        <v>4</v>
      </c>
      <c r="D234" s="17" t="str">
        <f>IF(Entradas[[#This Row],[Proveedor (código)]]="","",VLOOKUP(Entradas[[#This Row],[Proveedor (código)]],Proveedores[[#All],[Código]:[Nombre fiscal]],2,FALSE))</f>
        <v>Metro B.A</v>
      </c>
      <c r="E234" s="29" t="s">
        <v>749</v>
      </c>
      <c r="F234" s="17" t="str">
        <f>IF(Entradas[[#This Row],[Artículo (código)]]="","",VLOOKUP(Entradas[[#This Row],[Artículo (código)]],Existencias!A:D,4,FALSE))</f>
        <v>Azucar blanca 5 kg</v>
      </c>
      <c r="G234" s="17">
        <v>1</v>
      </c>
      <c r="H234" s="57">
        <f>VLOOKUP(Entradas[[#This Row],[Artículo (código)]],Existencias!A:F,6,FALSE)*Entradas[[#This Row],[Cantidad]]</f>
        <v>17.690000000000001</v>
      </c>
      <c r="I234" s="58">
        <f>Entradas[[#This Row],[Precio POR UNIDAD]]*Entradas[[#This Row],[Cantidad]]</f>
        <v>17.690000000000001</v>
      </c>
    </row>
    <row r="235" spans="1:9" x14ac:dyDescent="0.3">
      <c r="A235" s="17"/>
      <c r="B235" s="18">
        <v>46076</v>
      </c>
      <c r="C235" s="17">
        <v>4</v>
      </c>
      <c r="D235" s="17" t="str">
        <f>IF(Entradas[[#This Row],[Proveedor (código)]]="","",VLOOKUP(Entradas[[#This Row],[Proveedor (código)]],Proveedores[[#All],[Código]:[Nombre fiscal]],2,FALSE))</f>
        <v>Metro B.A</v>
      </c>
      <c r="E235" s="29" t="s">
        <v>755</v>
      </c>
      <c r="F235" s="17" t="str">
        <f>IF(Entradas[[#This Row],[Artículo (código)]]="","",VLOOKUP(Entradas[[#This Row],[Artículo (código)]],Existencias!A:D,4,FALSE))</f>
        <v>Azucar rubia 5 kg</v>
      </c>
      <c r="G235" s="17">
        <v>4</v>
      </c>
      <c r="H235" s="57">
        <f>VLOOKUP(Entradas[[#This Row],[Artículo (código)]],Existencias!A:F,6,FALSE)*Entradas[[#This Row],[Cantidad]]</f>
        <v>63.56</v>
      </c>
      <c r="I235" s="58">
        <f>Entradas[[#This Row],[Precio POR UNIDAD]]*Entradas[[#This Row],[Cantidad]]</f>
        <v>254.24</v>
      </c>
    </row>
    <row r="236" spans="1:9" x14ac:dyDescent="0.3">
      <c r="A236" s="17"/>
      <c r="B236" s="18">
        <v>46076</v>
      </c>
      <c r="C236" s="17">
        <v>4</v>
      </c>
      <c r="D236" s="17" t="str">
        <f>IF(Entradas[[#This Row],[Proveedor (código)]]="","",VLOOKUP(Entradas[[#This Row],[Proveedor (código)]],Proveedores[[#All],[Código]:[Nombre fiscal]],2,FALSE))</f>
        <v>Metro B.A</v>
      </c>
      <c r="E236" s="29" t="s">
        <v>917</v>
      </c>
      <c r="F236" s="17" t="str">
        <f>IF(Entradas[[#This Row],[Artículo (código)]]="","",VLOOKUP(Entradas[[#This Row],[Artículo (código)]],Existencias!A:D,4,FALSE))</f>
        <v>Fideos largos 900 gr</v>
      </c>
      <c r="G236" s="17">
        <v>11</v>
      </c>
      <c r="H236" s="57">
        <f>VLOOKUP(Entradas[[#This Row],[Artículo (código)]],Existencias!A:F,6,FALSE)*Entradas[[#This Row],[Cantidad]]</f>
        <v>52.25</v>
      </c>
      <c r="I236" s="58">
        <f>Entradas[[#This Row],[Precio POR UNIDAD]]*Entradas[[#This Row],[Cantidad]]</f>
        <v>574.75</v>
      </c>
    </row>
    <row r="237" spans="1:9" x14ac:dyDescent="0.3">
      <c r="A237" s="17"/>
      <c r="B237" s="18">
        <v>46076</v>
      </c>
      <c r="C237" s="17">
        <v>4</v>
      </c>
      <c r="D237" s="17" t="str">
        <f>IF(Entradas[[#This Row],[Proveedor (código)]]="","",VLOOKUP(Entradas[[#This Row],[Proveedor (código)]],Proveedores[[#All],[Código]:[Nombre fiscal]],2,FALSE))</f>
        <v>Metro B.A</v>
      </c>
      <c r="E237" s="29" t="s">
        <v>703</v>
      </c>
      <c r="F237" s="17" t="str">
        <f>IF(Entradas[[#This Row],[Artículo (código)]]="","",VLOOKUP(Entradas[[#This Row],[Artículo (código)]],Existencias!A:D,4,FALSE))</f>
        <v>Leche Evaporada  390 gr lata</v>
      </c>
      <c r="G237" s="17">
        <v>5</v>
      </c>
      <c r="H237" s="57">
        <f>VLOOKUP(Entradas[[#This Row],[Artículo (código)]],Existencias!A:F,6,FALSE)*Entradas[[#This Row],[Cantidad]]</f>
        <v>0</v>
      </c>
      <c r="I237" s="58">
        <f>Entradas[[#This Row],[Precio POR UNIDAD]]*Entradas[[#This Row],[Cantidad]]</f>
        <v>0</v>
      </c>
    </row>
    <row r="238" spans="1:9" x14ac:dyDescent="0.3">
      <c r="A238" s="17"/>
      <c r="B238" s="18">
        <v>46078</v>
      </c>
      <c r="C238" s="17">
        <v>4</v>
      </c>
      <c r="D238" s="17" t="str">
        <f>IF(Entradas[[#This Row],[Proveedor (código)]]="","",VLOOKUP(Entradas[[#This Row],[Proveedor (código)]],Proveedores[[#All],[Código]:[Nombre fiscal]],2,FALSE))</f>
        <v>Metro B.A</v>
      </c>
      <c r="E238" s="29" t="s">
        <v>800</v>
      </c>
      <c r="F238" s="17" t="str">
        <f>IF(Entradas[[#This Row],[Artículo (código)]]="","",VLOOKUP(Entradas[[#This Row],[Artículo (código)]],Existencias!A:D,4,FALSE))</f>
        <v xml:space="preserve">Arroz 5 kg </v>
      </c>
      <c r="G238" s="17">
        <v>2</v>
      </c>
      <c r="H238" s="57">
        <f>VLOOKUP(Entradas[[#This Row],[Artículo (código)]],Existencias!A:F,6,FALSE)*Entradas[[#This Row],[Cantidad]]</f>
        <v>49.9</v>
      </c>
      <c r="I238" s="58">
        <f>Entradas[[#This Row],[Precio POR UNIDAD]]*Entradas[[#This Row],[Cantidad]]</f>
        <v>99.8</v>
      </c>
    </row>
    <row r="239" spans="1:9" x14ac:dyDescent="0.3">
      <c r="A239" s="17"/>
      <c r="B239" s="18">
        <v>46078</v>
      </c>
      <c r="C239" s="17">
        <v>4</v>
      </c>
      <c r="D239" s="17" t="str">
        <f>IF(Entradas[[#This Row],[Proveedor (código)]]="","",VLOOKUP(Entradas[[#This Row],[Proveedor (código)]],Proveedores[[#All],[Código]:[Nombre fiscal]],2,FALSE))</f>
        <v>Metro B.A</v>
      </c>
      <c r="E239" s="29" t="s">
        <v>804</v>
      </c>
      <c r="F239" s="17" t="str">
        <f>IF(Entradas[[#This Row],[Artículo (código)]]="","",VLOOKUP(Entradas[[#This Row],[Artículo (código)]],Existencias!A:D,4,FALSE))</f>
        <v>Arroz Integral 1 kg</v>
      </c>
      <c r="G239" s="17">
        <v>2</v>
      </c>
      <c r="H239" s="57">
        <f>VLOOKUP(Entradas[[#This Row],[Artículo (código)]],Existencias!A:F,6,FALSE)*Entradas[[#This Row],[Cantidad]]</f>
        <v>9.3800000000000008</v>
      </c>
      <c r="I239" s="58">
        <f>Entradas[[#This Row],[Precio POR UNIDAD]]*Entradas[[#This Row],[Cantidad]]</f>
        <v>18.760000000000002</v>
      </c>
    </row>
    <row r="240" spans="1:9" x14ac:dyDescent="0.3">
      <c r="A240" s="17"/>
      <c r="B240" s="18">
        <v>46078</v>
      </c>
      <c r="C240" s="17">
        <v>4</v>
      </c>
      <c r="D240" s="17" t="str">
        <f>IF(Entradas[[#This Row],[Proveedor (código)]]="","",VLOOKUP(Entradas[[#This Row],[Proveedor (código)]],Proveedores[[#All],[Código]:[Nombre fiscal]],2,FALSE))</f>
        <v>Metro B.A</v>
      </c>
      <c r="E240" s="29" t="s">
        <v>919</v>
      </c>
      <c r="F240" s="17" t="str">
        <f>IF(Entradas[[#This Row],[Artículo (código)]]="","",VLOOKUP(Entradas[[#This Row],[Artículo (código)]],Existencias!A:D,4,FALSE))</f>
        <v>Fideos cortos 250 gr</v>
      </c>
      <c r="G240" s="17">
        <v>3</v>
      </c>
      <c r="H240" s="57">
        <f>VLOOKUP(Entradas[[#This Row],[Artículo (código)]],Existencias!A:F,6,FALSE)*Entradas[[#This Row],[Cantidad]]</f>
        <v>7.74</v>
      </c>
      <c r="I240" s="58">
        <f>Entradas[[#This Row],[Precio POR UNIDAD]]*Entradas[[#This Row],[Cantidad]]</f>
        <v>23.22</v>
      </c>
    </row>
    <row r="241" spans="1:9" x14ac:dyDescent="0.3">
      <c r="A241" s="17"/>
      <c r="B241" s="18">
        <v>46078</v>
      </c>
      <c r="C241" s="17">
        <v>4</v>
      </c>
      <c r="D241" s="17" t="str">
        <f>IF(Entradas[[#This Row],[Proveedor (código)]]="","",VLOOKUP(Entradas[[#This Row],[Proveedor (código)]],Proveedores[[#All],[Código]:[Nombre fiscal]],2,FALSE))</f>
        <v>Metro B.A</v>
      </c>
      <c r="E241" s="29" t="s">
        <v>1183</v>
      </c>
      <c r="F241" s="17" t="str">
        <f>IF(Entradas[[#This Row],[Artículo (código)]]="","",VLOOKUP(Entradas[[#This Row],[Artículo (código)]],Existencias!A:D,4,FALSE))</f>
        <v>Frejol Negro 500 gr</v>
      </c>
      <c r="G241" s="17">
        <v>2</v>
      </c>
      <c r="H241" s="57">
        <f>VLOOKUP(Entradas[[#This Row],[Artículo (código)]],Existencias!A:F,6,FALSE)*Entradas[[#This Row],[Cantidad]]</f>
        <v>11.82</v>
      </c>
      <c r="I241" s="58">
        <f>Entradas[[#This Row],[Precio POR UNIDAD]]*Entradas[[#This Row],[Cantidad]]</f>
        <v>23.64</v>
      </c>
    </row>
    <row r="242" spans="1:9" x14ac:dyDescent="0.3">
      <c r="A242" s="17"/>
      <c r="B242" s="18">
        <v>46078</v>
      </c>
      <c r="C242" s="17">
        <v>4</v>
      </c>
      <c r="D242" s="17" t="str">
        <f>IF(Entradas[[#This Row],[Proveedor (código)]]="","",VLOOKUP(Entradas[[#This Row],[Proveedor (código)]],Proveedores[[#All],[Código]:[Nombre fiscal]],2,FALSE))</f>
        <v>Metro B.A</v>
      </c>
      <c r="E242" s="29" t="s">
        <v>1237</v>
      </c>
      <c r="F242" s="17" t="str">
        <f>IF(Entradas[[#This Row],[Artículo (código)]]="","",VLOOKUP(Entradas[[#This Row],[Artículo (código)]],Existencias!A:D,4,FALSE))</f>
        <v>Quinua tricolor 500 gr</v>
      </c>
      <c r="G242" s="17">
        <v>2</v>
      </c>
      <c r="H242" s="57">
        <f>VLOOKUP(Entradas[[#This Row],[Artículo (código)]],Existencias!A:F,6,FALSE)*Entradas[[#This Row],[Cantidad]]</f>
        <v>20.76</v>
      </c>
      <c r="I242" s="58">
        <f>Entradas[[#This Row],[Precio POR UNIDAD]]*Entradas[[#This Row],[Cantidad]]</f>
        <v>41.52</v>
      </c>
    </row>
    <row r="243" spans="1:9" x14ac:dyDescent="0.3">
      <c r="A243" s="17"/>
      <c r="B243" s="18">
        <v>46078</v>
      </c>
      <c r="C243" s="17">
        <v>4</v>
      </c>
      <c r="D243" s="17" t="str">
        <f>IF(Entradas[[#This Row],[Proveedor (código)]]="","",VLOOKUP(Entradas[[#This Row],[Proveedor (código)]],Proveedores[[#All],[Código]:[Nombre fiscal]],2,FALSE))</f>
        <v>Metro B.A</v>
      </c>
      <c r="E243" s="29" t="s">
        <v>916</v>
      </c>
      <c r="F243" s="17" t="str">
        <f>IF(Entradas[[#This Row],[Artículo (código)]]="","",VLOOKUP(Entradas[[#This Row],[Artículo (código)]],Existencias!A:D,4,FALSE))</f>
        <v>Fideos largos 500 gr</v>
      </c>
      <c r="G243" s="17">
        <v>2</v>
      </c>
      <c r="H243" s="57">
        <f>VLOOKUP(Entradas[[#This Row],[Artículo (código)]],Existencias!A:F,6,FALSE)*Entradas[[#This Row],[Cantidad]]</f>
        <v>5.42</v>
      </c>
      <c r="I243" s="58">
        <f>Entradas[[#This Row],[Precio POR UNIDAD]]*Entradas[[#This Row],[Cantidad]]</f>
        <v>10.84</v>
      </c>
    </row>
    <row r="244" spans="1:9" x14ac:dyDescent="0.3">
      <c r="A244" s="17"/>
      <c r="B244" s="18">
        <v>46078</v>
      </c>
      <c r="C244" s="17">
        <v>4</v>
      </c>
      <c r="D244" s="17" t="str">
        <f>IF(Entradas[[#This Row],[Proveedor (código)]]="","",VLOOKUP(Entradas[[#This Row],[Proveedor (código)]],Proveedores[[#All],[Código]:[Nombre fiscal]],2,FALSE))</f>
        <v>Metro B.A</v>
      </c>
      <c r="E244" s="29" t="s">
        <v>799</v>
      </c>
      <c r="F244" s="17" t="str">
        <f>IF(Entradas[[#This Row],[Artículo (código)]]="","",VLOOKUP(Entradas[[#This Row],[Artículo (código)]],Existencias!A:D,4,FALSE))</f>
        <v>Arroz 1 kg</v>
      </c>
      <c r="G244" s="17">
        <v>2</v>
      </c>
      <c r="H244" s="57">
        <f>VLOOKUP(Entradas[[#This Row],[Artículo (código)]],Existencias!A:F,6,FALSE)*Entradas[[#This Row],[Cantidad]]</f>
        <v>9.4600000000000009</v>
      </c>
      <c r="I244" s="58">
        <f>Entradas[[#This Row],[Precio POR UNIDAD]]*Entradas[[#This Row],[Cantidad]]</f>
        <v>18.920000000000002</v>
      </c>
    </row>
    <row r="245" spans="1:9" x14ac:dyDescent="0.3">
      <c r="A245" s="17"/>
      <c r="B245" s="18">
        <v>46078</v>
      </c>
      <c r="C245" s="17">
        <v>4</v>
      </c>
      <c r="D245" s="17" t="str">
        <f>IF(Entradas[[#This Row],[Proveedor (código)]]="","",VLOOKUP(Entradas[[#This Row],[Proveedor (código)]],Proveedores[[#All],[Código]:[Nombre fiscal]],2,FALSE))</f>
        <v>Metro B.A</v>
      </c>
      <c r="E245" s="29" t="s">
        <v>749</v>
      </c>
      <c r="F245" s="17" t="str">
        <f>IF(Entradas[[#This Row],[Artículo (código)]]="","",VLOOKUP(Entradas[[#This Row],[Artículo (código)]],Existencias!A:D,4,FALSE))</f>
        <v>Azucar blanca 5 kg</v>
      </c>
      <c r="G245" s="17">
        <v>2</v>
      </c>
      <c r="H245" s="57">
        <f>VLOOKUP(Entradas[[#This Row],[Artículo (código)]],Existencias!A:F,6,FALSE)*Entradas[[#This Row],[Cantidad]]</f>
        <v>35.380000000000003</v>
      </c>
      <c r="I245" s="58">
        <f>Entradas[[#This Row],[Precio POR UNIDAD]]*Entradas[[#This Row],[Cantidad]]</f>
        <v>70.760000000000005</v>
      </c>
    </row>
    <row r="246" spans="1:9" x14ac:dyDescent="0.3">
      <c r="A246" s="17"/>
      <c r="B246" s="18">
        <v>46078</v>
      </c>
      <c r="C246" s="17">
        <v>4</v>
      </c>
      <c r="D246" s="17" t="str">
        <f>IF(Entradas[[#This Row],[Proveedor (código)]]="","",VLOOKUP(Entradas[[#This Row],[Proveedor (código)]],Proveedores[[#All],[Código]:[Nombre fiscal]],2,FALSE))</f>
        <v>Metro B.A</v>
      </c>
      <c r="E246" s="29" t="s">
        <v>755</v>
      </c>
      <c r="F246" s="17" t="str">
        <f>IF(Entradas[[#This Row],[Artículo (código)]]="","",VLOOKUP(Entradas[[#This Row],[Artículo (código)]],Existencias!A:D,4,FALSE))</f>
        <v>Azucar rubia 5 kg</v>
      </c>
      <c r="G246" s="17">
        <v>1</v>
      </c>
      <c r="H246" s="57">
        <f>VLOOKUP(Entradas[[#This Row],[Artículo (código)]],Existencias!A:F,6,FALSE)*Entradas[[#This Row],[Cantidad]]</f>
        <v>15.89</v>
      </c>
      <c r="I246" s="58">
        <f>Entradas[[#This Row],[Precio POR UNIDAD]]*Entradas[[#This Row],[Cantidad]]</f>
        <v>15.89</v>
      </c>
    </row>
    <row r="247" spans="1:9" x14ac:dyDescent="0.3">
      <c r="A247" s="17"/>
      <c r="B247" s="18">
        <v>46078</v>
      </c>
      <c r="C247" s="17">
        <v>4</v>
      </c>
      <c r="D247" s="17" t="str">
        <f>IF(Entradas[[#This Row],[Proveedor (código)]]="","",VLOOKUP(Entradas[[#This Row],[Proveedor (código)]],Proveedores[[#All],[Código]:[Nombre fiscal]],2,FALSE))</f>
        <v>Metro B.A</v>
      </c>
      <c r="E247" s="29" t="s">
        <v>917</v>
      </c>
      <c r="F247" s="17" t="str">
        <f>IF(Entradas[[#This Row],[Artículo (código)]]="","",VLOOKUP(Entradas[[#This Row],[Artículo (código)]],Existencias!A:D,4,FALSE))</f>
        <v>Fideos largos 900 gr</v>
      </c>
      <c r="G247" s="17">
        <v>3</v>
      </c>
      <c r="H247" s="57">
        <f>VLOOKUP(Entradas[[#This Row],[Artículo (código)]],Existencias!A:F,6,FALSE)*Entradas[[#This Row],[Cantidad]]</f>
        <v>14.25</v>
      </c>
      <c r="I247" s="58">
        <f>Entradas[[#This Row],[Precio POR UNIDAD]]*Entradas[[#This Row],[Cantidad]]</f>
        <v>42.75</v>
      </c>
    </row>
    <row r="248" spans="1:9" x14ac:dyDescent="0.3">
      <c r="A248" s="17"/>
      <c r="B248" s="18">
        <v>46078</v>
      </c>
      <c r="C248" s="17">
        <v>4</v>
      </c>
      <c r="D248" s="17" t="str">
        <f>IF(Entradas[[#This Row],[Proveedor (código)]]="","",VLOOKUP(Entradas[[#This Row],[Proveedor (código)]],Proveedores[[#All],[Código]:[Nombre fiscal]],2,FALSE))</f>
        <v>Metro B.A</v>
      </c>
      <c r="E248" s="29" t="s">
        <v>1226</v>
      </c>
      <c r="F248" s="17" t="str">
        <f>IF(Entradas[[#This Row],[Artículo (código)]]="","",VLOOKUP(Entradas[[#This Row],[Artículo (código)]],Existencias!A:D,4,FALSE))</f>
        <v>Quinua 500 gr</v>
      </c>
      <c r="G248" s="17">
        <v>1</v>
      </c>
      <c r="H248" s="57">
        <f>VLOOKUP(Entradas[[#This Row],[Artículo (código)]],Existencias!A:F,6,FALSE)*Entradas[[#This Row],[Cantidad]]</f>
        <v>8.2100000000000009</v>
      </c>
      <c r="I248" s="58">
        <f>Entradas[[#This Row],[Precio POR UNIDAD]]*Entradas[[#This Row],[Cantidad]]</f>
        <v>8.2100000000000009</v>
      </c>
    </row>
    <row r="249" spans="1:9" x14ac:dyDescent="0.3">
      <c r="A249" s="17"/>
      <c r="B249" s="18">
        <v>46083</v>
      </c>
      <c r="C249" s="17">
        <v>5</v>
      </c>
      <c r="D249" s="17" t="str">
        <f>IF(Entradas[[#This Row],[Proveedor (código)]]="","",VLOOKUP(Entradas[[#This Row],[Proveedor (código)]],Proveedores[[#All],[Código]:[Nombre fiscal]],2,FALSE))</f>
        <v>Almacen Banco de Alimentos</v>
      </c>
      <c r="E249" s="29" t="s">
        <v>784</v>
      </c>
      <c r="F249" s="17" t="str">
        <f>IF(Entradas[[#This Row],[Artículo (código)]]="","",VLOOKUP(Entradas[[#This Row],[Artículo (código)]],Existencias!A:D,4,FALSE))</f>
        <v>Medallon de lomo</v>
      </c>
      <c r="G249" s="17">
        <v>1.4</v>
      </c>
      <c r="H249" s="57">
        <f>VLOOKUP(Entradas[[#This Row],[Artículo (código)]],Existencias!A:F,6,FALSE)*Entradas[[#This Row],[Cantidad]]</f>
        <v>0</v>
      </c>
      <c r="I249" s="58">
        <f>Entradas[[#This Row],[Precio POR UNIDAD]]*Entradas[[#This Row],[Cantidad]]</f>
        <v>0</v>
      </c>
    </row>
    <row r="250" spans="1:9" x14ac:dyDescent="0.3">
      <c r="A250" s="17"/>
      <c r="B250" s="18">
        <v>46083</v>
      </c>
      <c r="C250" s="17">
        <v>5</v>
      </c>
      <c r="D250" s="17" t="str">
        <f>IF(Entradas[[#This Row],[Proveedor (código)]]="","",VLOOKUP(Entradas[[#This Row],[Proveedor (código)]],Proveedores[[#All],[Código]:[Nombre fiscal]],2,FALSE))</f>
        <v>Almacen Banco de Alimentos</v>
      </c>
      <c r="E250" s="29" t="s">
        <v>774</v>
      </c>
      <c r="F250" s="17" t="str">
        <f>IF(Entradas[[#This Row],[Artículo (código)]]="","",VLOOKUP(Entradas[[#This Row],[Artículo (código)]],Existencias!A:D,4,FALSE))</f>
        <v>Panceta sin hueso</v>
      </c>
      <c r="G250" s="17">
        <v>6.6</v>
      </c>
      <c r="H250" s="57">
        <f>VLOOKUP(Entradas[[#This Row],[Artículo (código)]],Existencias!A:F,6,FALSE)*Entradas[[#This Row],[Cantidad]]</f>
        <v>0</v>
      </c>
      <c r="I250" s="58">
        <f>Entradas[[#This Row],[Precio POR UNIDAD]]*Entradas[[#This Row],[Cantidad]]</f>
        <v>0</v>
      </c>
    </row>
    <row r="251" spans="1:9" x14ac:dyDescent="0.3">
      <c r="A251" s="17"/>
      <c r="B251" s="18">
        <v>46083</v>
      </c>
      <c r="C251" s="17">
        <v>5</v>
      </c>
      <c r="D251" s="17" t="str">
        <f>IF(Entradas[[#This Row],[Proveedor (código)]]="","",VLOOKUP(Entradas[[#This Row],[Proveedor (código)]],Proveedores[[#All],[Código]:[Nombre fiscal]],2,FALSE))</f>
        <v>Almacen Banco de Alimentos</v>
      </c>
      <c r="E251" s="29" t="s">
        <v>773</v>
      </c>
      <c r="F251" s="17" t="str">
        <f>IF(Entradas[[#This Row],[Artículo (código)]]="","",VLOOKUP(Entradas[[#This Row],[Artículo (código)]],Existencias!A:D,4,FALSE))</f>
        <v>Panceta con hueso</v>
      </c>
      <c r="G251" s="17">
        <v>2.2000000000000002</v>
      </c>
      <c r="H251" s="57">
        <f>VLOOKUP(Entradas[[#This Row],[Artículo (código)]],Existencias!A:F,6,FALSE)*Entradas[[#This Row],[Cantidad]]</f>
        <v>0</v>
      </c>
      <c r="I251" s="58">
        <f>Entradas[[#This Row],[Precio POR UNIDAD]]*Entradas[[#This Row],[Cantidad]]</f>
        <v>0</v>
      </c>
    </row>
    <row r="252" spans="1:9" x14ac:dyDescent="0.3">
      <c r="A252" s="17"/>
      <c r="B252" s="18">
        <v>46083</v>
      </c>
      <c r="C252" s="17">
        <v>5</v>
      </c>
      <c r="D252" s="17" t="str">
        <f>IF(Entradas[[#This Row],[Proveedor (código)]]="","",VLOOKUP(Entradas[[#This Row],[Proveedor (código)]],Proveedores[[#All],[Código]:[Nombre fiscal]],2,FALSE))</f>
        <v>Almacen Banco de Alimentos</v>
      </c>
      <c r="E252" s="31" t="s">
        <v>915</v>
      </c>
      <c r="F252" s="17" t="str">
        <f>IF(Entradas[[#This Row],[Artículo (código)]]="","",VLOOKUP(Entradas[[#This Row],[Artículo (código)]],Existencias!A:D,4,FALSE))</f>
        <v>Chorizo Finas Hierbas x4</v>
      </c>
      <c r="G252" s="17">
        <v>4</v>
      </c>
      <c r="H252" s="57">
        <f>VLOOKUP(Entradas[[#This Row],[Artículo (código)]],Existencias!A:F,6,FALSE)*Entradas[[#This Row],[Cantidad]]</f>
        <v>48.92</v>
      </c>
      <c r="I252" s="58">
        <f>Entradas[[#This Row],[Precio POR UNIDAD]]*Entradas[[#This Row],[Cantidad]]</f>
        <v>195.68</v>
      </c>
    </row>
    <row r="253" spans="1:9" x14ac:dyDescent="0.3">
      <c r="A253" s="17"/>
      <c r="B253" s="18">
        <v>46083</v>
      </c>
      <c r="C253" s="17">
        <v>5</v>
      </c>
      <c r="D253" s="17" t="str">
        <f>IF(Entradas[[#This Row],[Proveedor (código)]]="","",VLOOKUP(Entradas[[#This Row],[Proveedor (código)]],Proveedores[[#All],[Código]:[Nombre fiscal]],2,FALSE))</f>
        <v>Almacen Banco de Alimentos</v>
      </c>
      <c r="E253" s="39" t="s">
        <v>1307</v>
      </c>
      <c r="F253" s="17" t="str">
        <f>IF(Entradas[[#This Row],[Artículo (código)]]="","",VLOOKUP(Entradas[[#This Row],[Artículo (código)]],Existencias!A:D,4,FALSE))</f>
        <v>Bisteck</v>
      </c>
      <c r="G253" s="17">
        <v>1</v>
      </c>
      <c r="H253" s="57">
        <f>VLOOKUP(Entradas[[#This Row],[Artículo (código)]],Existencias!A:F,6,FALSE)*Entradas[[#This Row],[Cantidad]]</f>
        <v>1</v>
      </c>
      <c r="I253" s="58">
        <f>Entradas[[#This Row],[Precio POR UNIDAD]]*Entradas[[#This Row],[Cantidad]]</f>
        <v>1</v>
      </c>
    </row>
    <row r="254" spans="1:9" x14ac:dyDescent="0.3">
      <c r="A254" s="17"/>
      <c r="B254" s="18">
        <v>46083</v>
      </c>
      <c r="C254" s="17">
        <v>5</v>
      </c>
      <c r="D254" s="17" t="str">
        <f>IF(Entradas[[#This Row],[Proveedor (código)]]="","",VLOOKUP(Entradas[[#This Row],[Proveedor (código)]],Proveedores[[#All],[Código]:[Nombre fiscal]],2,FALSE))</f>
        <v>Almacen Banco de Alimentos</v>
      </c>
      <c r="E254" s="29" t="s">
        <v>778</v>
      </c>
      <c r="F254" s="17" t="str">
        <f>IF(Entradas[[#This Row],[Artículo (código)]]="","",VLOOKUP(Entradas[[#This Row],[Artículo (código)]],Existencias!A:D,4,FALSE))</f>
        <v>Carne molida de cerdo</v>
      </c>
      <c r="G254" s="17">
        <v>2.2000000000000002</v>
      </c>
      <c r="H254" s="57">
        <f>VLOOKUP(Entradas[[#This Row],[Artículo (código)]],Existencias!A:F,6,FALSE)*Entradas[[#This Row],[Cantidad]]</f>
        <v>0</v>
      </c>
      <c r="I254" s="58">
        <f>Entradas[[#This Row],[Precio POR UNIDAD]]*Entradas[[#This Row],[Cantidad]]</f>
        <v>0</v>
      </c>
    </row>
    <row r="255" spans="1:9" x14ac:dyDescent="0.3">
      <c r="A255" s="17"/>
      <c r="B255" s="18">
        <v>46083</v>
      </c>
      <c r="C255" s="17">
        <v>5</v>
      </c>
      <c r="D255" s="17" t="str">
        <f>IF(Entradas[[#This Row],[Proveedor (código)]]="","",VLOOKUP(Entradas[[#This Row],[Proveedor (código)]],Proveedores[[#All],[Código]:[Nombre fiscal]],2,FALSE))</f>
        <v>Almacen Banco de Alimentos</v>
      </c>
      <c r="E255" s="29" t="s">
        <v>779</v>
      </c>
      <c r="F255" s="17" t="str">
        <f>IF(Entradas[[#This Row],[Artículo (código)]]="","",VLOOKUP(Entradas[[#This Row],[Artículo (código)]],Existencias!A:D,4,FALSE))</f>
        <v>Cerdo saborizado</v>
      </c>
      <c r="G255" s="46">
        <v>3</v>
      </c>
      <c r="H255" s="57">
        <f>VLOOKUP(Entradas[[#This Row],[Artículo (código)]],Existencias!A:F,6,FALSE)*Entradas[[#This Row],[Cantidad]]</f>
        <v>0</v>
      </c>
      <c r="I255" s="58">
        <f>Entradas[[#This Row],[Precio POR UNIDAD]]*Entradas[[#This Row],[Cantidad]]</f>
        <v>0</v>
      </c>
    </row>
    <row r="256" spans="1:9" x14ac:dyDescent="0.3">
      <c r="A256" s="17"/>
      <c r="B256" s="18">
        <v>46083</v>
      </c>
      <c r="C256" s="17">
        <v>5</v>
      </c>
      <c r="D256" s="17" t="str">
        <f>IF(Entradas[[#This Row],[Proveedor (código)]]="","",VLOOKUP(Entradas[[#This Row],[Proveedor (código)]],Proveedores[[#All],[Código]:[Nombre fiscal]],2,FALSE))</f>
        <v>Almacen Banco de Alimentos</v>
      </c>
      <c r="E256" s="29" t="s">
        <v>778</v>
      </c>
      <c r="F256" s="17" t="str">
        <f>IF(Entradas[[#This Row],[Artículo (código)]]="","",VLOOKUP(Entradas[[#This Row],[Artículo (código)]],Existencias!A:D,4,FALSE))</f>
        <v>Carne molida de cerdo</v>
      </c>
      <c r="G256" s="17">
        <v>1</v>
      </c>
      <c r="H256" s="57">
        <f>VLOOKUP(Entradas[[#This Row],[Artículo (código)]],Existencias!A:F,6,FALSE)*Entradas[[#This Row],[Cantidad]]</f>
        <v>0</v>
      </c>
      <c r="I256" s="58">
        <f>Entradas[[#This Row],[Precio POR UNIDAD]]*Entradas[[#This Row],[Cantidad]]</f>
        <v>0</v>
      </c>
    </row>
    <row r="257" spans="1:9" x14ac:dyDescent="0.3">
      <c r="A257" s="17"/>
      <c r="B257" s="18">
        <v>46083</v>
      </c>
      <c r="C257" s="17">
        <v>5</v>
      </c>
      <c r="D257" s="17" t="str">
        <f>IF(Entradas[[#This Row],[Proveedor (código)]]="","",VLOOKUP(Entradas[[#This Row],[Proveedor (código)]],Proveedores[[#All],[Código]:[Nombre fiscal]],2,FALSE))</f>
        <v>Almacen Banco de Alimentos</v>
      </c>
      <c r="E257" s="29" t="s">
        <v>735</v>
      </c>
      <c r="F257" s="17" t="str">
        <f>IF(Entradas[[#This Row],[Artículo (código)]]="","",VLOOKUP(Entradas[[#This Row],[Artículo (código)]],Existencias!A:D,4,FALSE))</f>
        <v>Milanesa de pollo</v>
      </c>
      <c r="G257" s="17">
        <v>3</v>
      </c>
      <c r="H257" s="57">
        <f>VLOOKUP(Entradas[[#This Row],[Artículo (código)]],Existencias!A:F,6,FALSE)*Entradas[[#This Row],[Cantidad]]</f>
        <v>0</v>
      </c>
      <c r="I257" s="58">
        <f>Entradas[[#This Row],[Precio POR UNIDAD]]*Entradas[[#This Row],[Cantidad]]</f>
        <v>0</v>
      </c>
    </row>
    <row r="258" spans="1:9" x14ac:dyDescent="0.3">
      <c r="A258" s="17"/>
      <c r="B258" s="18">
        <v>46083</v>
      </c>
      <c r="C258" s="17">
        <v>5</v>
      </c>
      <c r="D258" s="17" t="str">
        <f>IF(Entradas[[#This Row],[Proveedor (código)]]="","",VLOOKUP(Entradas[[#This Row],[Proveedor (código)]],Proveedores[[#All],[Código]:[Nombre fiscal]],2,FALSE))</f>
        <v>Almacen Banco de Alimentos</v>
      </c>
      <c r="E258" s="29" t="s">
        <v>1306</v>
      </c>
      <c r="F258" s="17" t="str">
        <f>IF(Entradas[[#This Row],[Artículo (código)]]="","",VLOOKUP(Entradas[[#This Row],[Artículo (código)]],Existencias!A:D,4,FALSE))</f>
        <v>Punta de pecho</v>
      </c>
      <c r="G258" s="17">
        <v>0.6</v>
      </c>
      <c r="H258" s="57">
        <f>VLOOKUP(Entradas[[#This Row],[Artículo (código)]],Existencias!A:F,6,FALSE)*Entradas[[#This Row],[Cantidad]]</f>
        <v>0</v>
      </c>
      <c r="I258" s="58">
        <f>Entradas[[#This Row],[Precio POR UNIDAD]]*Entradas[[#This Row],[Cantidad]]</f>
        <v>0</v>
      </c>
    </row>
    <row r="259" spans="1:9" x14ac:dyDescent="0.3">
      <c r="A259" s="17"/>
      <c r="B259" s="18">
        <v>46083</v>
      </c>
      <c r="C259" s="17">
        <v>5</v>
      </c>
      <c r="D259" s="17" t="str">
        <f>IF(Entradas[[#This Row],[Proveedor (código)]]="","",VLOOKUP(Entradas[[#This Row],[Proveedor (código)]],Proveedores[[#All],[Código]:[Nombre fiscal]],2,FALSE))</f>
        <v>Almacen Banco de Alimentos</v>
      </c>
      <c r="E259" s="29" t="s">
        <v>749</v>
      </c>
      <c r="F259" s="17" t="str">
        <f>IF(Entradas[[#This Row],[Artículo (código)]]="","",VLOOKUP(Entradas[[#This Row],[Artículo (código)]],Existencias!A:D,4,FALSE))</f>
        <v>Azucar blanca 5 kg</v>
      </c>
      <c r="G259" s="17">
        <v>1</v>
      </c>
      <c r="H259" s="57">
        <f>VLOOKUP(Entradas[[#This Row],[Artículo (código)]],Existencias!A:F,6,FALSE)*Entradas[[#This Row],[Cantidad]]</f>
        <v>17.690000000000001</v>
      </c>
      <c r="I259" s="58">
        <f>Entradas[[#This Row],[Precio POR UNIDAD]]*Entradas[[#This Row],[Cantidad]]</f>
        <v>17.690000000000001</v>
      </c>
    </row>
    <row r="260" spans="1:9" x14ac:dyDescent="0.3">
      <c r="A260" s="17"/>
      <c r="B260" s="18">
        <v>46083</v>
      </c>
      <c r="C260" s="17">
        <v>5</v>
      </c>
      <c r="D260" s="17" t="str">
        <f>IF(Entradas[[#This Row],[Proveedor (código)]]="","",VLOOKUP(Entradas[[#This Row],[Proveedor (código)]],Proveedores[[#All],[Código]:[Nombre fiscal]],2,FALSE))</f>
        <v>Almacen Banco de Alimentos</v>
      </c>
      <c r="E260" s="29" t="s">
        <v>755</v>
      </c>
      <c r="F260" s="17" t="str">
        <f>IF(Entradas[[#This Row],[Artículo (código)]]="","",VLOOKUP(Entradas[[#This Row],[Artículo (código)]],Existencias!A:D,4,FALSE))</f>
        <v>Azucar rubia 5 kg</v>
      </c>
      <c r="G260" s="17">
        <v>2</v>
      </c>
      <c r="H260" s="57">
        <f>VLOOKUP(Entradas[[#This Row],[Artículo (código)]],Existencias!A:F,6,FALSE)*Entradas[[#This Row],[Cantidad]]</f>
        <v>31.78</v>
      </c>
      <c r="I260" s="58">
        <f>Entradas[[#This Row],[Precio POR UNIDAD]]*Entradas[[#This Row],[Cantidad]]</f>
        <v>63.56</v>
      </c>
    </row>
    <row r="261" spans="1:9" x14ac:dyDescent="0.3">
      <c r="A261" s="17"/>
      <c r="B261" s="18">
        <v>46083</v>
      </c>
      <c r="C261" s="17">
        <v>5</v>
      </c>
      <c r="D261" s="17" t="str">
        <f>IF(Entradas[[#This Row],[Proveedor (código)]]="","",VLOOKUP(Entradas[[#This Row],[Proveedor (código)]],Proveedores[[#All],[Código]:[Nombre fiscal]],2,FALSE))</f>
        <v>Almacen Banco de Alimentos</v>
      </c>
      <c r="E261" s="29" t="s">
        <v>885</v>
      </c>
      <c r="F261" s="17" t="str">
        <f>IF(Entradas[[#This Row],[Artículo (código)]]="","",VLOOKUP(Entradas[[#This Row],[Artículo (código)]],Existencias!A:D,4,FALSE))</f>
        <v>Filete de atun aceite lata</v>
      </c>
      <c r="G261" s="17">
        <v>4</v>
      </c>
      <c r="H261" s="57">
        <f>VLOOKUP(Entradas[[#This Row],[Artículo (código)]],Existencias!A:F,6,FALSE)*Entradas[[#This Row],[Cantidad]]</f>
        <v>16.48</v>
      </c>
      <c r="I261" s="58">
        <f>Entradas[[#This Row],[Precio POR UNIDAD]]*Entradas[[#This Row],[Cantidad]]</f>
        <v>65.92</v>
      </c>
    </row>
    <row r="262" spans="1:9" x14ac:dyDescent="0.3">
      <c r="A262" s="17"/>
      <c r="B262" s="18">
        <v>46083</v>
      </c>
      <c r="C262" s="17">
        <v>5</v>
      </c>
      <c r="D262" s="17" t="str">
        <f>IF(Entradas[[#This Row],[Proveedor (código)]]="","",VLOOKUP(Entradas[[#This Row],[Proveedor (código)]],Proveedores[[#All],[Código]:[Nombre fiscal]],2,FALSE))</f>
        <v>Almacen Banco de Alimentos</v>
      </c>
      <c r="E262" s="29" t="s">
        <v>887</v>
      </c>
      <c r="F262" s="17" t="str">
        <f>IF(Entradas[[#This Row],[Artículo (código)]]="","",VLOOKUP(Entradas[[#This Row],[Artículo (código)]],Existencias!A:D,4,FALSE))</f>
        <v>Trozo de atun aceite lata</v>
      </c>
      <c r="G262" s="17">
        <v>5</v>
      </c>
      <c r="H262" s="57">
        <f>VLOOKUP(Entradas[[#This Row],[Artículo (código)]],Existencias!A:F,6,FALSE)*Entradas[[#This Row],[Cantidad]]</f>
        <v>0</v>
      </c>
      <c r="I262" s="58">
        <f>Entradas[[#This Row],[Precio POR UNIDAD]]*Entradas[[#This Row],[Cantidad]]</f>
        <v>0</v>
      </c>
    </row>
    <row r="263" spans="1:9" x14ac:dyDescent="0.3">
      <c r="A263" s="17"/>
      <c r="B263" s="18">
        <v>46084</v>
      </c>
      <c r="C263" s="17">
        <v>8</v>
      </c>
      <c r="D263" s="17" t="str">
        <f>IF(Entradas[[#This Row],[Proveedor (código)]]="","",VLOOKUP(Entradas[[#This Row],[Proveedor (código)]],Proveedores[[#All],[Código]:[Nombre fiscal]],2,FALSE))</f>
        <v>MOR</v>
      </c>
      <c r="E263" s="29" t="s">
        <v>989</v>
      </c>
      <c r="F263" s="17" t="str">
        <f>IF(Entradas[[#This Row],[Artículo (código)]]="","",VLOOKUP(Entradas[[#This Row],[Artículo (código)]],Existencias!A:D,4,FALSE))</f>
        <v>Huevo pardo</v>
      </c>
      <c r="G263" s="17">
        <v>15</v>
      </c>
      <c r="H263" s="57">
        <f>VLOOKUP(Entradas[[#This Row],[Artículo (código)]],Existencias!A:F,6,FALSE)*Entradas[[#This Row],[Cantidad]]</f>
        <v>0</v>
      </c>
      <c r="I263" s="58">
        <f>Entradas[[#This Row],[Precio POR UNIDAD]]*Entradas[[#This Row],[Cantidad]]</f>
        <v>0</v>
      </c>
    </row>
    <row r="264" spans="1:9" x14ac:dyDescent="0.3">
      <c r="A264" s="17"/>
      <c r="B264" s="18">
        <v>46085</v>
      </c>
      <c r="C264" s="17">
        <v>4</v>
      </c>
      <c r="D264" s="17" t="str">
        <f>IF(Entradas[[#This Row],[Proveedor (código)]]="","",VLOOKUP(Entradas[[#This Row],[Proveedor (código)]],Proveedores[[#All],[Código]:[Nombre fiscal]],2,FALSE))</f>
        <v>Metro B.A</v>
      </c>
      <c r="E264" s="29" t="s">
        <v>799</v>
      </c>
      <c r="F264" s="17" t="str">
        <f>IF(Entradas[[#This Row],[Artículo (código)]]="","",VLOOKUP(Entradas[[#This Row],[Artículo (código)]],Existencias!A:D,4,FALSE))</f>
        <v>Arroz 1 kg</v>
      </c>
      <c r="G264" s="17">
        <v>3</v>
      </c>
      <c r="H264" s="57">
        <f>VLOOKUP(Entradas[[#This Row],[Artículo (código)]],Existencias!A:F,6,FALSE)*Entradas[[#This Row],[Cantidad]]</f>
        <v>14.190000000000001</v>
      </c>
      <c r="I264" s="58">
        <f>Entradas[[#This Row],[Precio POR UNIDAD]]*Entradas[[#This Row],[Cantidad]]</f>
        <v>42.570000000000007</v>
      </c>
    </row>
    <row r="265" spans="1:9" x14ac:dyDescent="0.3">
      <c r="A265" s="17"/>
      <c r="B265" s="18">
        <v>46085</v>
      </c>
      <c r="C265" s="17">
        <v>4</v>
      </c>
      <c r="D265" s="17" t="str">
        <f>IF(Entradas[[#This Row],[Proveedor (código)]]="","",VLOOKUP(Entradas[[#This Row],[Proveedor (código)]],Proveedores[[#All],[Código]:[Nombre fiscal]],2,FALSE))</f>
        <v>Metro B.A</v>
      </c>
      <c r="E265" s="29" t="s">
        <v>1219</v>
      </c>
      <c r="F265" s="17" t="str">
        <f>IF(Entradas[[#This Row],[Artículo (código)]]="","",VLOOKUP(Entradas[[#This Row],[Artículo (código)]],Existencias!A:D,4,FALSE))</f>
        <v>Papa Seca 500 gr</v>
      </c>
      <c r="G265" s="17">
        <v>2</v>
      </c>
      <c r="H265" s="57">
        <f>VLOOKUP(Entradas[[#This Row],[Artículo (código)]],Existencias!A:F,6,FALSE)*Entradas[[#This Row],[Cantidad]]</f>
        <v>11.58</v>
      </c>
      <c r="I265" s="58">
        <f>Entradas[[#This Row],[Precio POR UNIDAD]]*Entradas[[#This Row],[Cantidad]]</f>
        <v>23.16</v>
      </c>
    </row>
    <row r="266" spans="1:9" x14ac:dyDescent="0.3">
      <c r="A266" s="17"/>
      <c r="B266" s="18">
        <v>46085</v>
      </c>
      <c r="C266" s="17">
        <v>4</v>
      </c>
      <c r="D266" s="17" t="str">
        <f>IF(Entradas[[#This Row],[Proveedor (código)]]="","",VLOOKUP(Entradas[[#This Row],[Proveedor (código)]],Proveedores[[#All],[Código]:[Nombre fiscal]],2,FALSE))</f>
        <v>Metro B.A</v>
      </c>
      <c r="E266" s="29" t="s">
        <v>923</v>
      </c>
      <c r="F266" s="17" t="e">
        <f>IF(Entradas[[#This Row],[Artículo (código)]]="","",VLOOKUP(Entradas[[#This Row],[Artículo (código)]],Existencias!A:D,4,FALSE))</f>
        <v>#N/A</v>
      </c>
      <c r="G266" s="17">
        <v>1</v>
      </c>
      <c r="H266" s="57" t="e">
        <f>VLOOKUP(Entradas[[#This Row],[Artículo (código)]],Existencias!A:F,6,FALSE)*Entradas[[#This Row],[Cantidad]]</f>
        <v>#N/A</v>
      </c>
      <c r="I266" s="58" t="e">
        <f>Entradas[[#This Row],[Precio POR UNIDAD]]*Entradas[[#This Row],[Cantidad]]</f>
        <v>#N/A</v>
      </c>
    </row>
    <row r="267" spans="1:9" x14ac:dyDescent="0.3">
      <c r="A267" s="17"/>
      <c r="B267" s="18">
        <v>46085</v>
      </c>
      <c r="C267" s="17">
        <v>4</v>
      </c>
      <c r="D267" s="17" t="str">
        <f>IF(Entradas[[#This Row],[Proveedor (código)]]="","",VLOOKUP(Entradas[[#This Row],[Proveedor (código)]],Proveedores[[#All],[Código]:[Nombre fiscal]],2,FALSE))</f>
        <v>Metro B.A</v>
      </c>
      <c r="E267" s="29" t="s">
        <v>917</v>
      </c>
      <c r="F267" s="17" t="str">
        <f>IF(Entradas[[#This Row],[Artículo (código)]]="","",VLOOKUP(Entradas[[#This Row],[Artículo (código)]],Existencias!A:D,4,FALSE))</f>
        <v>Fideos largos 900 gr</v>
      </c>
      <c r="G267" s="17">
        <v>6</v>
      </c>
      <c r="H267" s="57">
        <f>VLOOKUP(Entradas[[#This Row],[Artículo (código)]],Existencias!A:F,6,FALSE)*Entradas[[#This Row],[Cantidad]]</f>
        <v>28.5</v>
      </c>
      <c r="I267" s="58">
        <f>Entradas[[#This Row],[Precio POR UNIDAD]]*Entradas[[#This Row],[Cantidad]]</f>
        <v>171</v>
      </c>
    </row>
    <row r="268" spans="1:9" x14ac:dyDescent="0.3">
      <c r="A268" s="17"/>
      <c r="B268" s="18">
        <v>46085</v>
      </c>
      <c r="C268" s="17">
        <v>4</v>
      </c>
      <c r="D268" s="17" t="str">
        <f>IF(Entradas[[#This Row],[Proveedor (código)]]="","",VLOOKUP(Entradas[[#This Row],[Proveedor (código)]],Proveedores[[#All],[Código]:[Nombre fiscal]],2,FALSE))</f>
        <v>Metro B.A</v>
      </c>
      <c r="E268" s="29" t="s">
        <v>709</v>
      </c>
      <c r="F268" s="17" t="str">
        <f>IF(Entradas[[#This Row],[Artículo (código)]]="","",VLOOKUP(Entradas[[#This Row],[Artículo (código)]],Existencias!A:D,4,FALSE))</f>
        <v>Sal Mesa 1kg</v>
      </c>
      <c r="G268" s="17">
        <v>4</v>
      </c>
      <c r="H268" s="57">
        <f>VLOOKUP(Entradas[[#This Row],[Artículo (código)]],Existencias!A:F,6,FALSE)*Entradas[[#This Row],[Cantidad]]</f>
        <v>6.68</v>
      </c>
      <c r="I268" s="58">
        <f>Entradas[[#This Row],[Precio POR UNIDAD]]*Entradas[[#This Row],[Cantidad]]</f>
        <v>26.72</v>
      </c>
    </row>
    <row r="269" spans="1:9" x14ac:dyDescent="0.3">
      <c r="A269" s="17"/>
      <c r="B269" s="18">
        <v>46085</v>
      </c>
      <c r="C269" s="17">
        <v>4</v>
      </c>
      <c r="D269" s="17" t="str">
        <f>IF(Entradas[[#This Row],[Proveedor (código)]]="","",VLOOKUP(Entradas[[#This Row],[Proveedor (código)]],Proveedores[[#All],[Código]:[Nombre fiscal]],2,FALSE))</f>
        <v>Metro B.A</v>
      </c>
      <c r="E269" s="29" t="s">
        <v>920</v>
      </c>
      <c r="F269" s="17" t="str">
        <f>IF(Entradas[[#This Row],[Artículo (código)]]="","",VLOOKUP(Entradas[[#This Row],[Artículo (código)]],Existencias!A:D,4,FALSE))</f>
        <v>Fideos cortos 500 gr</v>
      </c>
      <c r="G269" s="17">
        <v>2</v>
      </c>
      <c r="H269" s="57">
        <f>VLOOKUP(Entradas[[#This Row],[Artículo (código)]],Existencias!A:F,6,FALSE)*Entradas[[#This Row],[Cantidad]]</f>
        <v>0</v>
      </c>
      <c r="I269" s="58">
        <f>Entradas[[#This Row],[Precio POR UNIDAD]]*Entradas[[#This Row],[Cantidad]]</f>
        <v>0</v>
      </c>
    </row>
    <row r="270" spans="1:9" x14ac:dyDescent="0.3">
      <c r="A270" s="17"/>
      <c r="B270" s="18">
        <v>46085</v>
      </c>
      <c r="C270" s="17">
        <v>4</v>
      </c>
      <c r="D270" s="17" t="str">
        <f>IF(Entradas[[#This Row],[Proveedor (código)]]="","",VLOOKUP(Entradas[[#This Row],[Proveedor (código)]],Proveedores[[#All],[Código]:[Nombre fiscal]],2,FALSE))</f>
        <v>Metro B.A</v>
      </c>
      <c r="E270" s="29" t="s">
        <v>916</v>
      </c>
      <c r="F270" s="17" t="str">
        <f>IF(Entradas[[#This Row],[Artículo (código)]]="","",VLOOKUP(Entradas[[#This Row],[Artículo (código)]],Existencias!A:D,4,FALSE))</f>
        <v>Fideos largos 500 gr</v>
      </c>
      <c r="G270" s="17">
        <v>2</v>
      </c>
      <c r="H270" s="57">
        <f>VLOOKUP(Entradas[[#This Row],[Artículo (código)]],Existencias!A:F,6,FALSE)*Entradas[[#This Row],[Cantidad]]</f>
        <v>5.42</v>
      </c>
      <c r="I270" s="58">
        <f>Entradas[[#This Row],[Precio POR UNIDAD]]*Entradas[[#This Row],[Cantidad]]</f>
        <v>10.84</v>
      </c>
    </row>
    <row r="271" spans="1:9" x14ac:dyDescent="0.3">
      <c r="A271" s="17"/>
      <c r="B271" s="18">
        <v>46085</v>
      </c>
      <c r="C271" s="17">
        <v>4</v>
      </c>
      <c r="D271" s="17" t="str">
        <f>IF(Entradas[[#This Row],[Proveedor (código)]]="","",VLOOKUP(Entradas[[#This Row],[Proveedor (código)]],Proveedores[[#All],[Código]:[Nombre fiscal]],2,FALSE))</f>
        <v>Metro B.A</v>
      </c>
      <c r="E271" s="29" t="s">
        <v>800</v>
      </c>
      <c r="F271" s="17" t="str">
        <f>IF(Entradas[[#This Row],[Artículo (código)]]="","",VLOOKUP(Entradas[[#This Row],[Artículo (código)]],Existencias!A:D,4,FALSE))</f>
        <v xml:space="preserve">Arroz 5 kg </v>
      </c>
      <c r="G271" s="17">
        <v>1</v>
      </c>
      <c r="H271" s="57">
        <f>VLOOKUP(Entradas[[#This Row],[Artículo (código)]],Existencias!A:F,6,FALSE)*Entradas[[#This Row],[Cantidad]]</f>
        <v>24.95</v>
      </c>
      <c r="I271" s="58">
        <f>Entradas[[#This Row],[Precio POR UNIDAD]]*Entradas[[#This Row],[Cantidad]]</f>
        <v>24.95</v>
      </c>
    </row>
    <row r="272" spans="1:9" x14ac:dyDescent="0.3">
      <c r="A272" s="17"/>
      <c r="B272" s="18">
        <v>46085</v>
      </c>
      <c r="C272" s="17">
        <v>4</v>
      </c>
      <c r="D272" s="17" t="str">
        <f>IF(Entradas[[#This Row],[Proveedor (código)]]="","",VLOOKUP(Entradas[[#This Row],[Proveedor (código)]],Proveedores[[#All],[Código]:[Nombre fiscal]],2,FALSE))</f>
        <v>Metro B.A</v>
      </c>
      <c r="E272" s="29" t="s">
        <v>919</v>
      </c>
      <c r="F272" s="17" t="str">
        <f>IF(Entradas[[#This Row],[Artículo (código)]]="","",VLOOKUP(Entradas[[#This Row],[Artículo (código)]],Existencias!A:D,4,FALSE))</f>
        <v>Fideos cortos 250 gr</v>
      </c>
      <c r="G272" s="17">
        <v>1</v>
      </c>
      <c r="H272" s="57">
        <f>VLOOKUP(Entradas[[#This Row],[Artículo (código)]],Existencias!A:F,6,FALSE)*Entradas[[#This Row],[Cantidad]]</f>
        <v>2.58</v>
      </c>
      <c r="I272" s="58">
        <f>Entradas[[#This Row],[Precio POR UNIDAD]]*Entradas[[#This Row],[Cantidad]]</f>
        <v>2.58</v>
      </c>
    </row>
    <row r="273" spans="1:9" x14ac:dyDescent="0.3">
      <c r="A273" s="17"/>
      <c r="B273" s="18">
        <v>46087</v>
      </c>
      <c r="C273" s="17">
        <v>2</v>
      </c>
      <c r="D273" s="17" t="str">
        <f>IF(Entradas[[#This Row],[Proveedor (código)]]="","",VLOOKUP(Entradas[[#This Row],[Proveedor (código)]],Proveedores[[#All],[Código]:[Nombre fiscal]],2,FALSE))</f>
        <v>PLAZA VEA B.A</v>
      </c>
      <c r="E273" s="29" t="s">
        <v>824</v>
      </c>
      <c r="F273" s="17" t="str">
        <f>IF(Entradas[[#This Row],[Artículo (código)]]="","",VLOOKUP(Entradas[[#This Row],[Artículo (código)]],Existencias!A:D,4,FALSE))</f>
        <v>Salvado de trigo 500 gr</v>
      </c>
      <c r="G273" s="17">
        <v>4</v>
      </c>
      <c r="H273" s="57">
        <f>VLOOKUP(Entradas[[#This Row],[Artículo (código)]],Existencias!A:F,6,FALSE)*Entradas[[#This Row],[Cantidad]]</f>
        <v>0</v>
      </c>
      <c r="I273" s="58">
        <f>Entradas[[#This Row],[Precio POR UNIDAD]]*Entradas[[#This Row],[Cantidad]]</f>
        <v>0</v>
      </c>
    </row>
    <row r="274" spans="1:9" x14ac:dyDescent="0.3">
      <c r="A274" s="17"/>
      <c r="B274" s="18">
        <v>46087</v>
      </c>
      <c r="C274" s="17">
        <v>2</v>
      </c>
      <c r="D274" s="17" t="str">
        <f>IF(Entradas[[#This Row],[Proveedor (código)]]="","",VLOOKUP(Entradas[[#This Row],[Proveedor (código)]],Proveedores[[#All],[Código]:[Nombre fiscal]],2,FALSE))</f>
        <v>PLAZA VEA B.A</v>
      </c>
      <c r="E274" s="29" t="s">
        <v>894</v>
      </c>
      <c r="F274" s="17" t="str">
        <f>IF(Entradas[[#This Row],[Artículo (código)]]="","",VLOOKUP(Entradas[[#This Row],[Artículo (código)]],Existencias!A:D,4,FALSE))</f>
        <v>Piña en almibar 500 gr lata</v>
      </c>
      <c r="G274" s="17">
        <v>1</v>
      </c>
      <c r="H274" s="57">
        <f>VLOOKUP(Entradas[[#This Row],[Artículo (código)]],Existencias!A:F,6,FALSE)*Entradas[[#This Row],[Cantidad]]</f>
        <v>0</v>
      </c>
      <c r="I274" s="58">
        <f>Entradas[[#This Row],[Precio POR UNIDAD]]*Entradas[[#This Row],[Cantidad]]</f>
        <v>0</v>
      </c>
    </row>
    <row r="275" spans="1:9" x14ac:dyDescent="0.3">
      <c r="A275" s="17"/>
      <c r="B275" s="18">
        <v>46087</v>
      </c>
      <c r="C275" s="17">
        <v>2</v>
      </c>
      <c r="D275" s="17" t="str">
        <f>IF(Entradas[[#This Row],[Proveedor (código)]]="","",VLOOKUP(Entradas[[#This Row],[Proveedor (código)]],Proveedores[[#All],[Código]:[Nombre fiscal]],2,FALSE))</f>
        <v>PLAZA VEA B.A</v>
      </c>
      <c r="E275" s="29" t="s">
        <v>887</v>
      </c>
      <c r="F275" s="17" t="str">
        <f>IF(Entradas[[#This Row],[Artículo (código)]]="","",VLOOKUP(Entradas[[#This Row],[Artículo (código)]],Existencias!A:D,4,FALSE))</f>
        <v>Trozo de atun aceite lata</v>
      </c>
      <c r="G275" s="17">
        <v>4</v>
      </c>
      <c r="H275" s="57">
        <f>VLOOKUP(Entradas[[#This Row],[Artículo (código)]],Existencias!A:F,6,FALSE)*Entradas[[#This Row],[Cantidad]]</f>
        <v>0</v>
      </c>
      <c r="I275" s="58">
        <f>Entradas[[#This Row],[Precio POR UNIDAD]]*Entradas[[#This Row],[Cantidad]]</f>
        <v>0</v>
      </c>
    </row>
    <row r="276" spans="1:9" x14ac:dyDescent="0.3">
      <c r="A276" s="17"/>
      <c r="B276" s="18">
        <v>46087</v>
      </c>
      <c r="C276" s="17">
        <v>2</v>
      </c>
      <c r="D276" s="17" t="str">
        <f>IF(Entradas[[#This Row],[Proveedor (código)]]="","",VLOOKUP(Entradas[[#This Row],[Proveedor (código)]],Proveedores[[#All],[Código]:[Nombre fiscal]],2,FALSE))</f>
        <v>PLAZA VEA B.A</v>
      </c>
      <c r="E276" s="29" t="s">
        <v>885</v>
      </c>
      <c r="F276" s="17" t="str">
        <f>IF(Entradas[[#This Row],[Artículo (código)]]="","",VLOOKUP(Entradas[[#This Row],[Artículo (código)]],Existencias!A:D,4,FALSE))</f>
        <v>Filete de atun aceite lata</v>
      </c>
      <c r="G276" s="17">
        <v>7</v>
      </c>
      <c r="H276" s="57">
        <f>VLOOKUP(Entradas[[#This Row],[Artículo (código)]],Existencias!A:F,6,FALSE)*Entradas[[#This Row],[Cantidad]]</f>
        <v>28.84</v>
      </c>
      <c r="I276" s="58">
        <f>Entradas[[#This Row],[Precio POR UNIDAD]]*Entradas[[#This Row],[Cantidad]]</f>
        <v>201.88</v>
      </c>
    </row>
    <row r="277" spans="1:9" x14ac:dyDescent="0.3">
      <c r="A277" s="17"/>
      <c r="B277" s="18">
        <v>46087</v>
      </c>
      <c r="C277" s="17">
        <v>2</v>
      </c>
      <c r="D277" s="17" t="str">
        <f>IF(Entradas[[#This Row],[Proveedor (código)]]="","",VLOOKUP(Entradas[[#This Row],[Proveedor (código)]],Proveedores[[#All],[Código]:[Nombre fiscal]],2,FALSE))</f>
        <v>PLAZA VEA B.A</v>
      </c>
      <c r="E277" s="29" t="s">
        <v>919</v>
      </c>
      <c r="F277" s="17" t="str">
        <f>IF(Entradas[[#This Row],[Artículo (código)]]="","",VLOOKUP(Entradas[[#This Row],[Artículo (código)]],Existencias!A:D,4,FALSE))</f>
        <v>Fideos cortos 250 gr</v>
      </c>
      <c r="G277" s="17">
        <v>1</v>
      </c>
      <c r="H277" s="57">
        <f>VLOOKUP(Entradas[[#This Row],[Artículo (código)]],Existencias!A:F,6,FALSE)*Entradas[[#This Row],[Cantidad]]</f>
        <v>2.58</v>
      </c>
      <c r="I277" s="58">
        <f>Entradas[[#This Row],[Precio POR UNIDAD]]*Entradas[[#This Row],[Cantidad]]</f>
        <v>2.58</v>
      </c>
    </row>
    <row r="278" spans="1:9" x14ac:dyDescent="0.3">
      <c r="A278" s="17"/>
      <c r="B278" s="18">
        <v>46087</v>
      </c>
      <c r="C278" s="17">
        <v>2</v>
      </c>
      <c r="D278" s="17" t="str">
        <f>IF(Entradas[[#This Row],[Proveedor (código)]]="","",VLOOKUP(Entradas[[#This Row],[Proveedor (código)]],Proveedores[[#All],[Código]:[Nombre fiscal]],2,FALSE))</f>
        <v>PLAZA VEA B.A</v>
      </c>
      <c r="E278" s="29" t="s">
        <v>916</v>
      </c>
      <c r="F278" s="17" t="str">
        <f>IF(Entradas[[#This Row],[Artículo (código)]]="","",VLOOKUP(Entradas[[#This Row],[Artículo (código)]],Existencias!A:D,4,FALSE))</f>
        <v>Fideos largos 500 gr</v>
      </c>
      <c r="G278" s="17">
        <v>2</v>
      </c>
      <c r="H278" s="57">
        <f>VLOOKUP(Entradas[[#This Row],[Artículo (código)]],Existencias!A:F,6,FALSE)*Entradas[[#This Row],[Cantidad]]</f>
        <v>5.42</v>
      </c>
      <c r="I278" s="58">
        <f>Entradas[[#This Row],[Precio POR UNIDAD]]*Entradas[[#This Row],[Cantidad]]</f>
        <v>10.84</v>
      </c>
    </row>
    <row r="279" spans="1:9" x14ac:dyDescent="0.3">
      <c r="A279" s="17"/>
      <c r="B279" s="18">
        <v>46087</v>
      </c>
      <c r="C279" s="17">
        <v>2</v>
      </c>
      <c r="D279" s="17" t="str">
        <f>IF(Entradas[[#This Row],[Proveedor (código)]]="","",VLOOKUP(Entradas[[#This Row],[Proveedor (código)]],Proveedores[[#All],[Código]:[Nombre fiscal]],2,FALSE))</f>
        <v>PLAZA VEA B.A</v>
      </c>
      <c r="E279" s="29" t="s">
        <v>917</v>
      </c>
      <c r="F279" s="17" t="str">
        <f>IF(Entradas[[#This Row],[Artículo (código)]]="","",VLOOKUP(Entradas[[#This Row],[Artículo (código)]],Existencias!A:D,4,FALSE))</f>
        <v>Fideos largos 900 gr</v>
      </c>
      <c r="G279" s="17">
        <v>1</v>
      </c>
      <c r="H279" s="57">
        <f>VLOOKUP(Entradas[[#This Row],[Artículo (código)]],Existencias!A:F,6,FALSE)*Entradas[[#This Row],[Cantidad]]</f>
        <v>4.75</v>
      </c>
      <c r="I279" s="58">
        <f>Entradas[[#This Row],[Precio POR UNIDAD]]*Entradas[[#This Row],[Cantidad]]</f>
        <v>4.75</v>
      </c>
    </row>
    <row r="280" spans="1:9" x14ac:dyDescent="0.3">
      <c r="A280" s="17"/>
      <c r="B280" s="18">
        <v>46087</v>
      </c>
      <c r="C280" s="17">
        <v>2</v>
      </c>
      <c r="D280" s="17" t="str">
        <f>IF(Entradas[[#This Row],[Proveedor (código)]]="","",VLOOKUP(Entradas[[#This Row],[Proveedor (código)]],Proveedores[[#All],[Código]:[Nombre fiscal]],2,FALSE))</f>
        <v>PLAZA VEA B.A</v>
      </c>
      <c r="E280" s="29" t="s">
        <v>694</v>
      </c>
      <c r="F280" s="17" t="str">
        <f>IF(Entradas[[#This Row],[Artículo (código)]]="","",VLOOKUP(Entradas[[#This Row],[Artículo (código)]],Existencias!A:D,4,FALSE))</f>
        <v>Aceite Vegetal 900 ml</v>
      </c>
      <c r="G280" s="17">
        <v>2</v>
      </c>
      <c r="H280" s="57">
        <f>VLOOKUP(Entradas[[#This Row],[Artículo (código)]],Existencias!A:F,6,FALSE)*Entradas[[#This Row],[Cantidad]]</f>
        <v>9.52</v>
      </c>
      <c r="I280" s="58">
        <f>Entradas[[#This Row],[Precio POR UNIDAD]]*Entradas[[#This Row],[Cantidad]]</f>
        <v>19.04</v>
      </c>
    </row>
    <row r="281" spans="1:9" x14ac:dyDescent="0.3">
      <c r="A281" s="17"/>
      <c r="B281" s="18">
        <v>46087</v>
      </c>
      <c r="C281" s="17">
        <v>2</v>
      </c>
      <c r="D281" s="17" t="str">
        <f>IF(Entradas[[#This Row],[Proveedor (código)]]="","",VLOOKUP(Entradas[[#This Row],[Proveedor (código)]],Proveedores[[#All],[Código]:[Nombre fiscal]],2,FALSE))</f>
        <v>PLAZA VEA B.A</v>
      </c>
      <c r="E281" s="29" t="s">
        <v>885</v>
      </c>
      <c r="F281" s="17" t="str">
        <f>IF(Entradas[[#This Row],[Artículo (código)]]="","",VLOOKUP(Entradas[[#This Row],[Artículo (código)]],Existencias!A:D,4,FALSE))</f>
        <v>Filete de atun aceite lata</v>
      </c>
      <c r="G281" s="17">
        <v>6</v>
      </c>
      <c r="H281" s="57">
        <f>VLOOKUP(Entradas[[#This Row],[Artículo (código)]],Existencias!A:F,6,FALSE)*Entradas[[#This Row],[Cantidad]]</f>
        <v>24.72</v>
      </c>
      <c r="I281" s="58">
        <f>Entradas[[#This Row],[Precio POR UNIDAD]]*Entradas[[#This Row],[Cantidad]]</f>
        <v>148.32</v>
      </c>
    </row>
    <row r="282" spans="1:9" x14ac:dyDescent="0.3">
      <c r="A282" s="17"/>
      <c r="B282" s="18">
        <v>46087</v>
      </c>
      <c r="C282" s="17">
        <v>2</v>
      </c>
      <c r="D282" s="17" t="str">
        <f>IF(Entradas[[#This Row],[Proveedor (código)]]="","",VLOOKUP(Entradas[[#This Row],[Proveedor (código)]],Proveedores[[#All],[Código]:[Nombre fiscal]],2,FALSE))</f>
        <v>PLAZA VEA B.A</v>
      </c>
      <c r="E282" s="29" t="s">
        <v>703</v>
      </c>
      <c r="F282" s="17" t="str">
        <f>IF(Entradas[[#This Row],[Artículo (código)]]="","",VLOOKUP(Entradas[[#This Row],[Artículo (código)]],Existencias!A:D,4,FALSE))</f>
        <v>Leche Evaporada  390 gr lata</v>
      </c>
      <c r="G282" s="17">
        <v>36</v>
      </c>
      <c r="H282" s="57">
        <f>VLOOKUP(Entradas[[#This Row],[Artículo (código)]],Existencias!A:F,6,FALSE)*Entradas[[#This Row],[Cantidad]]</f>
        <v>0</v>
      </c>
      <c r="I282" s="58">
        <f>Entradas[[#This Row],[Precio POR UNIDAD]]*Entradas[[#This Row],[Cantidad]]</f>
        <v>0</v>
      </c>
    </row>
    <row r="283" spans="1:9" x14ac:dyDescent="0.3">
      <c r="A283" s="17"/>
      <c r="B283" s="18">
        <v>46087</v>
      </c>
      <c r="C283" s="17">
        <v>2</v>
      </c>
      <c r="D283" s="17" t="str">
        <f>IF(Entradas[[#This Row],[Proveedor (código)]]="","",VLOOKUP(Entradas[[#This Row],[Proveedor (código)]],Proveedores[[#All],[Código]:[Nombre fiscal]],2,FALSE))</f>
        <v>PLAZA VEA B.A</v>
      </c>
      <c r="E283" s="29" t="s">
        <v>1045</v>
      </c>
      <c r="F283" s="17" t="str">
        <f>IF(Entradas[[#This Row],[Artículo (código)]]="","",VLOOKUP(Entradas[[#This Row],[Artículo (código)]],Existencias!A:D,4,FALSE))</f>
        <v>Leche niño 390 lata</v>
      </c>
      <c r="G283" s="17">
        <v>19</v>
      </c>
      <c r="H283" s="57">
        <f>VLOOKUP(Entradas[[#This Row],[Artículo (código)]],Existencias!A:F,6,FALSE)*Entradas[[#This Row],[Cantidad]]</f>
        <v>0</v>
      </c>
      <c r="I283" s="58">
        <f>Entradas[[#This Row],[Precio POR UNIDAD]]*Entradas[[#This Row],[Cantidad]]</f>
        <v>0</v>
      </c>
    </row>
    <row r="284" spans="1:9" x14ac:dyDescent="0.3">
      <c r="A284" s="17"/>
      <c r="B284" s="18">
        <v>46087</v>
      </c>
      <c r="C284" s="17">
        <v>2</v>
      </c>
      <c r="D284" s="17" t="str">
        <f>IF(Entradas[[#This Row],[Proveedor (código)]]="","",VLOOKUP(Entradas[[#This Row],[Proveedor (código)]],Proveedores[[#All],[Código]:[Nombre fiscal]],2,FALSE))</f>
        <v>PLAZA VEA B.A</v>
      </c>
      <c r="E284" s="29" t="s">
        <v>705</v>
      </c>
      <c r="F284" s="17" t="str">
        <f>IF(Entradas[[#This Row],[Artículo (código)]]="","",VLOOKUP(Entradas[[#This Row],[Artículo (código)]],Existencias!A:D,4,FALSE))</f>
        <v>Leche descramada 390 lata</v>
      </c>
      <c r="G284" s="17">
        <v>1</v>
      </c>
      <c r="H284" s="57">
        <f>VLOOKUP(Entradas[[#This Row],[Artículo (código)]],Existencias!A:F,6,FALSE)*Entradas[[#This Row],[Cantidad]]</f>
        <v>0</v>
      </c>
      <c r="I284" s="58">
        <f>Entradas[[#This Row],[Precio POR UNIDAD]]*Entradas[[#This Row],[Cantidad]]</f>
        <v>0</v>
      </c>
    </row>
    <row r="285" spans="1:9" x14ac:dyDescent="0.3">
      <c r="A285" s="17"/>
      <c r="B285" s="18">
        <v>46087</v>
      </c>
      <c r="C285" s="17">
        <v>7</v>
      </c>
      <c r="D285" s="17" t="str">
        <f>IF(Entradas[[#This Row],[Proveedor (código)]]="","",VLOOKUP(Entradas[[#This Row],[Proveedor (código)]],Proveedores[[#All],[Código]:[Nombre fiscal]],2,FALSE))</f>
        <v>frozen</v>
      </c>
      <c r="E285" s="29" t="s">
        <v>1270</v>
      </c>
      <c r="F285" s="17" t="str">
        <f>IF(Entradas[[#This Row],[Artículo (código)]]="","",VLOOKUP(Entradas[[#This Row],[Artículo (código)]],Existencias!A:D,4,FALSE))</f>
        <v>Filete de tilapa x 1kg (01 caja x10 kg)</v>
      </c>
      <c r="G285" s="17">
        <v>10</v>
      </c>
      <c r="H285" s="57">
        <f>VLOOKUP(Entradas[[#This Row],[Artículo (código)]],Existencias!A:F,6,FALSE)*Entradas[[#This Row],[Cantidad]]</f>
        <v>0</v>
      </c>
      <c r="I285" s="58">
        <f>Entradas[[#This Row],[Precio POR UNIDAD]]*Entradas[[#This Row],[Cantidad]]</f>
        <v>0</v>
      </c>
    </row>
    <row r="286" spans="1:9" x14ac:dyDescent="0.3">
      <c r="A286" s="17"/>
      <c r="B286" s="18">
        <v>46087</v>
      </c>
      <c r="C286" s="17">
        <v>7</v>
      </c>
      <c r="D286" s="17" t="str">
        <f>IF(Entradas[[#This Row],[Proveedor (código)]]="","",VLOOKUP(Entradas[[#This Row],[Proveedor (código)]],Proveedores[[#All],[Código]:[Nombre fiscal]],2,FALSE))</f>
        <v>frozen</v>
      </c>
      <c r="E286" s="29" t="s">
        <v>1271</v>
      </c>
      <c r="F286" s="17" t="str">
        <f>IF(Entradas[[#This Row],[Artículo (código)]]="","",VLOOKUP(Entradas[[#This Row],[Artículo (código)]],Existencias!A:D,4,FALSE))</f>
        <v>Filete de tilapa x 1kg (04 caja x10 kg)</v>
      </c>
      <c r="G286" s="17">
        <v>40</v>
      </c>
      <c r="H286" s="57">
        <f>VLOOKUP(Entradas[[#This Row],[Artículo (código)]],Existencias!A:F,6,FALSE)*Entradas[[#This Row],[Cantidad]]</f>
        <v>0</v>
      </c>
      <c r="I286" s="58">
        <f>Entradas[[#This Row],[Precio POR UNIDAD]]*Entradas[[#This Row],[Cantidad]]</f>
        <v>0</v>
      </c>
    </row>
    <row r="287" spans="1:9" x14ac:dyDescent="0.3">
      <c r="A287" s="17"/>
      <c r="B287" s="18">
        <v>46087</v>
      </c>
      <c r="C287" s="17">
        <v>7</v>
      </c>
      <c r="D287" s="17" t="str">
        <f>IF(Entradas[[#This Row],[Proveedor (código)]]="","",VLOOKUP(Entradas[[#This Row],[Proveedor (código)]],Proveedores[[#All],[Código]:[Nombre fiscal]],2,FALSE))</f>
        <v>frozen</v>
      </c>
      <c r="E287" s="29" t="s">
        <v>1060</v>
      </c>
      <c r="F287" s="17" t="str">
        <f>IF(Entradas[[#This Row],[Artículo (código)]]="","",VLOOKUP(Entradas[[#This Row],[Artículo (código)]],Existencias!A:D,4,FALSE))</f>
        <v>Yogurt  2lt</v>
      </c>
      <c r="G287" s="17">
        <v>18</v>
      </c>
      <c r="H287" s="57">
        <f>VLOOKUP(Entradas[[#This Row],[Artículo (código)]],Existencias!A:F,6,FALSE)*Entradas[[#This Row],[Cantidad]]</f>
        <v>0</v>
      </c>
      <c r="I287" s="58">
        <f>Entradas[[#This Row],[Precio POR UNIDAD]]*Entradas[[#This Row],[Cantidad]]</f>
        <v>0</v>
      </c>
    </row>
    <row r="288" spans="1:9" x14ac:dyDescent="0.3">
      <c r="A288" s="17"/>
      <c r="B288" s="18">
        <v>46090</v>
      </c>
      <c r="C288" s="17">
        <v>2</v>
      </c>
      <c r="D288" s="17" t="str">
        <f>IF(Entradas[[#This Row],[Proveedor (código)]]="","",VLOOKUP(Entradas[[#This Row],[Proveedor (código)]],Proveedores[[#All],[Código]:[Nombre fiscal]],2,FALSE))</f>
        <v>PLAZA VEA B.A</v>
      </c>
      <c r="E288" s="29" t="s">
        <v>1324</v>
      </c>
      <c r="F288" s="17" t="str">
        <f>IF(Entradas[[#This Row],[Artículo (código)]]="","",VLOOKUP(Entradas[[#This Row],[Artículo (código)]],Existencias!A:D,4,FALSE))</f>
        <v>Hamburguesas Speciales Premium</v>
      </c>
      <c r="G288" s="17">
        <v>1.62</v>
      </c>
      <c r="H288" s="57">
        <f>VLOOKUP(Entradas[[#This Row],[Artículo (código)]],Existencias!A:F,6,FALSE)*Entradas[[#This Row],[Cantidad]]</f>
        <v>0</v>
      </c>
      <c r="I288" s="58">
        <f>Entradas[[#This Row],[Precio POR UNIDAD]]*Entradas[[#This Row],[Cantidad]]</f>
        <v>0</v>
      </c>
    </row>
    <row r="289" spans="1:9" x14ac:dyDescent="0.3">
      <c r="A289" s="17"/>
      <c r="B289" s="18">
        <v>46090</v>
      </c>
      <c r="C289" s="17">
        <v>2</v>
      </c>
      <c r="D289" s="17" t="str">
        <f>IF(Entradas[[#This Row],[Proveedor (código)]]="","",VLOOKUP(Entradas[[#This Row],[Proveedor (código)]],Proveedores[[#All],[Código]:[Nombre fiscal]],2,FALSE))</f>
        <v>PLAZA VEA B.A</v>
      </c>
      <c r="E289" s="31" t="s">
        <v>914</v>
      </c>
      <c r="F289" s="17" t="str">
        <f>IF(Entradas[[#This Row],[Artículo (código)]]="","",VLOOKUP(Entradas[[#This Row],[Artículo (código)]],Existencias!A:D,4,FALSE))</f>
        <v>Chorizo Parrillero x 4</v>
      </c>
      <c r="G289" s="17">
        <v>1</v>
      </c>
      <c r="H289" s="57">
        <f>VLOOKUP(Entradas[[#This Row],[Artículo (código)]],Existencias!A:F,6,FALSE)*Entradas[[#This Row],[Cantidad]]</f>
        <v>8.5399999999999991</v>
      </c>
      <c r="I289" s="58">
        <f>Entradas[[#This Row],[Precio POR UNIDAD]]*Entradas[[#This Row],[Cantidad]]</f>
        <v>8.5399999999999991</v>
      </c>
    </row>
    <row r="290" spans="1:9" x14ac:dyDescent="0.3">
      <c r="A290" s="17"/>
      <c r="B290" s="18">
        <v>46090</v>
      </c>
      <c r="C290" s="17">
        <v>2</v>
      </c>
      <c r="D290" s="17" t="str">
        <f>IF(Entradas[[#This Row],[Proveedor (código)]]="","",VLOOKUP(Entradas[[#This Row],[Proveedor (código)]],Proveedores[[#All],[Código]:[Nombre fiscal]],2,FALSE))</f>
        <v>PLAZA VEA B.A</v>
      </c>
      <c r="E290" s="29" t="s">
        <v>1309</v>
      </c>
      <c r="F290" s="17" t="str">
        <f>IF(Entradas[[#This Row],[Artículo (código)]]="","",VLOOKUP(Entradas[[#This Row],[Artículo (código)]],Existencias!A:D,4,FALSE))</f>
        <v>Carne Molida especial</v>
      </c>
      <c r="G290" s="17">
        <v>0.67</v>
      </c>
      <c r="H290" s="57">
        <f>VLOOKUP(Entradas[[#This Row],[Artículo (código)]],Existencias!A:F,6,FALSE)*Entradas[[#This Row],[Cantidad]]</f>
        <v>0</v>
      </c>
      <c r="I290" s="58">
        <f>Entradas[[#This Row],[Precio POR UNIDAD]]*Entradas[[#This Row],[Cantidad]]</f>
        <v>0</v>
      </c>
    </row>
    <row r="291" spans="1:9" x14ac:dyDescent="0.3">
      <c r="A291" s="17"/>
      <c r="B291" s="18">
        <v>46090</v>
      </c>
      <c r="C291" s="17">
        <v>2</v>
      </c>
      <c r="D291" s="17" t="str">
        <f>IF(Entradas[[#This Row],[Proveedor (código)]]="","",VLOOKUP(Entradas[[#This Row],[Proveedor (código)]],Proveedores[[#All],[Código]:[Nombre fiscal]],2,FALSE))</f>
        <v>PLAZA VEA B.A</v>
      </c>
      <c r="E291" s="29" t="s">
        <v>1306</v>
      </c>
      <c r="F291" s="17" t="str">
        <f>IF(Entradas[[#This Row],[Artículo (código)]]="","",VLOOKUP(Entradas[[#This Row],[Artículo (código)]],Existencias!A:D,4,FALSE))</f>
        <v>Punta de pecho</v>
      </c>
      <c r="G291" s="17">
        <v>0.56000000000000005</v>
      </c>
      <c r="H291" s="57">
        <f>VLOOKUP(Entradas[[#This Row],[Artículo (código)]],Existencias!A:F,6,FALSE)*Entradas[[#This Row],[Cantidad]]</f>
        <v>0</v>
      </c>
      <c r="I291" s="58">
        <f>Entradas[[#This Row],[Precio POR UNIDAD]]*Entradas[[#This Row],[Cantidad]]</f>
        <v>0</v>
      </c>
    </row>
    <row r="292" spans="1:9" x14ac:dyDescent="0.3">
      <c r="A292" s="17"/>
      <c r="B292" s="18">
        <v>46090</v>
      </c>
      <c r="C292" s="17">
        <v>2</v>
      </c>
      <c r="D292" s="17" t="str">
        <f>IF(Entradas[[#This Row],[Proveedor (código)]]="","",VLOOKUP(Entradas[[#This Row],[Proveedor (código)]],Proveedores[[#All],[Código]:[Nombre fiscal]],2,FALSE))</f>
        <v>PLAZA VEA B.A</v>
      </c>
      <c r="E292" s="29" t="s">
        <v>746</v>
      </c>
      <c r="F292" s="17" t="str">
        <f>IF(Entradas[[#This Row],[Artículo (código)]]="","",VLOOKUP(Entradas[[#This Row],[Artículo (código)]],Existencias!A:D,4,FALSE))</f>
        <v>Piernas de pollo kg</v>
      </c>
      <c r="G292" s="17">
        <v>3.99</v>
      </c>
      <c r="H292" s="57">
        <f>VLOOKUP(Entradas[[#This Row],[Artículo (código)]],Existencias!A:F,6,FALSE)*Entradas[[#This Row],[Cantidad]]</f>
        <v>48.358800000000002</v>
      </c>
      <c r="I292" s="58">
        <f>Entradas[[#This Row],[Precio POR UNIDAD]]*Entradas[[#This Row],[Cantidad]]</f>
        <v>192.95161200000001</v>
      </c>
    </row>
    <row r="293" spans="1:9" x14ac:dyDescent="0.3">
      <c r="A293" s="17"/>
      <c r="B293" s="18">
        <v>46090</v>
      </c>
      <c r="C293" s="17">
        <v>2</v>
      </c>
      <c r="D293" s="17" t="str">
        <f>IF(Entradas[[#This Row],[Proveedor (código)]]="","",VLOOKUP(Entradas[[#This Row],[Proveedor (código)]],Proveedores[[#All],[Código]:[Nombre fiscal]],2,FALSE))</f>
        <v>PLAZA VEA B.A</v>
      </c>
      <c r="E293" s="29" t="s">
        <v>774</v>
      </c>
      <c r="F293" s="17" t="str">
        <f>IF(Entradas[[#This Row],[Artículo (código)]]="","",VLOOKUP(Entradas[[#This Row],[Artículo (código)]],Existencias!A:D,4,FALSE))</f>
        <v>Panceta sin hueso</v>
      </c>
      <c r="G293" s="17">
        <v>1.76</v>
      </c>
      <c r="H293" s="57">
        <f>VLOOKUP(Entradas[[#This Row],[Artículo (código)]],Existencias!A:F,6,FALSE)*Entradas[[#This Row],[Cantidad]]</f>
        <v>0</v>
      </c>
      <c r="I293" s="58">
        <f>Entradas[[#This Row],[Precio POR UNIDAD]]*Entradas[[#This Row],[Cantidad]]</f>
        <v>0</v>
      </c>
    </row>
    <row r="294" spans="1:9" x14ac:dyDescent="0.3">
      <c r="A294" s="17"/>
      <c r="B294" s="18">
        <v>46090</v>
      </c>
      <c r="C294" s="17">
        <v>2</v>
      </c>
      <c r="D294" s="17" t="str">
        <f>IF(Entradas[[#This Row],[Proveedor (código)]]="","",VLOOKUP(Entradas[[#This Row],[Proveedor (código)]],Proveedores[[#All],[Código]:[Nombre fiscal]],2,FALSE))</f>
        <v>PLAZA VEA B.A</v>
      </c>
      <c r="E294" s="29" t="s">
        <v>782</v>
      </c>
      <c r="F294" s="17" t="str">
        <f>IF(Entradas[[#This Row],[Artículo (código)]]="","",VLOOKUP(Entradas[[#This Row],[Artículo (código)]],Existencias!A:D,4,FALSE))</f>
        <v xml:space="preserve">Enrollado de cerdo </v>
      </c>
      <c r="G294" s="17">
        <v>2.74</v>
      </c>
      <c r="H294" s="57">
        <f>VLOOKUP(Entradas[[#This Row],[Artículo (código)]],Existencias!A:F,6,FALSE)*Entradas[[#This Row],[Cantidad]]</f>
        <v>0</v>
      </c>
      <c r="I294" s="58">
        <f>Entradas[[#This Row],[Precio POR UNIDAD]]*Entradas[[#This Row],[Cantidad]]</f>
        <v>0</v>
      </c>
    </row>
    <row r="295" spans="1:9" x14ac:dyDescent="0.3">
      <c r="A295" s="17"/>
      <c r="B295" s="18">
        <v>46090</v>
      </c>
      <c r="C295" s="17">
        <v>2</v>
      </c>
      <c r="D295" s="17" t="str">
        <f>IF(Entradas[[#This Row],[Proveedor (código)]]="","",VLOOKUP(Entradas[[#This Row],[Proveedor (código)]],Proveedores[[#All],[Código]:[Nombre fiscal]],2,FALSE))</f>
        <v>PLAZA VEA B.A</v>
      </c>
      <c r="E295" s="29" t="s">
        <v>799</v>
      </c>
      <c r="F295" s="17" t="str">
        <f>IF(Entradas[[#This Row],[Artículo (código)]]="","",VLOOKUP(Entradas[[#This Row],[Artículo (código)]],Existencias!A:D,4,FALSE))</f>
        <v>Arroz 1 kg</v>
      </c>
      <c r="G295" s="17">
        <v>3</v>
      </c>
      <c r="H295" s="57">
        <f>VLOOKUP(Entradas[[#This Row],[Artículo (código)]],Existencias!A:F,6,FALSE)*Entradas[[#This Row],[Cantidad]]</f>
        <v>14.190000000000001</v>
      </c>
      <c r="I295" s="58">
        <f>Entradas[[#This Row],[Precio POR UNIDAD]]*Entradas[[#This Row],[Cantidad]]</f>
        <v>42.570000000000007</v>
      </c>
    </row>
    <row r="296" spans="1:9" x14ac:dyDescent="0.3">
      <c r="A296" s="17"/>
      <c r="B296" s="18">
        <v>46090</v>
      </c>
      <c r="C296" s="17">
        <v>2</v>
      </c>
      <c r="D296" s="17" t="str">
        <f>IF(Entradas[[#This Row],[Proveedor (código)]]="","",VLOOKUP(Entradas[[#This Row],[Proveedor (código)]],Proveedores[[#All],[Código]:[Nombre fiscal]],2,FALSE))</f>
        <v>PLAZA VEA B.A</v>
      </c>
      <c r="E296" s="29" t="s">
        <v>753</v>
      </c>
      <c r="F296" s="17" t="str">
        <f>IF(Entradas[[#This Row],[Artículo (código)]]="","",VLOOKUP(Entradas[[#This Row],[Artículo (código)]],Existencias!A:D,4,FALSE))</f>
        <v>Azucar rubia 1kg</v>
      </c>
      <c r="G296" s="17">
        <v>1</v>
      </c>
      <c r="H296" s="57">
        <f>VLOOKUP(Entradas[[#This Row],[Artículo (código)]],Existencias!A:F,6,FALSE)*Entradas[[#This Row],[Cantidad]]</f>
        <v>3.29</v>
      </c>
      <c r="I296" s="58">
        <f>Entradas[[#This Row],[Precio POR UNIDAD]]*Entradas[[#This Row],[Cantidad]]</f>
        <v>3.29</v>
      </c>
    </row>
    <row r="297" spans="1:9" x14ac:dyDescent="0.3">
      <c r="A297" s="17"/>
      <c r="B297" s="18">
        <v>46090</v>
      </c>
      <c r="C297" s="17">
        <v>2</v>
      </c>
      <c r="D297" s="17" t="str">
        <f>IF(Entradas[[#This Row],[Proveedor (código)]]="","",VLOOKUP(Entradas[[#This Row],[Proveedor (código)]],Proveedores[[#All],[Código]:[Nombre fiscal]],2,FALSE))</f>
        <v>PLAZA VEA B.A</v>
      </c>
      <c r="E297" s="29" t="s">
        <v>1201</v>
      </c>
      <c r="F297" s="17" t="str">
        <f>IF(Entradas[[#This Row],[Artículo (código)]]="","",VLOOKUP(Entradas[[#This Row],[Artículo (código)]],Existencias!A:D,4,FALSE))</f>
        <v>Lenteja BB 500 gr</v>
      </c>
      <c r="G297" s="17">
        <v>2</v>
      </c>
      <c r="H297" s="57">
        <f>VLOOKUP(Entradas[[#This Row],[Artículo (código)]],Existencias!A:F,6,FALSE)*Entradas[[#This Row],[Cantidad]]</f>
        <v>10.1</v>
      </c>
      <c r="I297" s="58">
        <f>Entradas[[#This Row],[Precio POR UNIDAD]]*Entradas[[#This Row],[Cantidad]]</f>
        <v>20.2</v>
      </c>
    </row>
    <row r="298" spans="1:9" x14ac:dyDescent="0.3">
      <c r="A298" s="17"/>
      <c r="B298" s="18">
        <v>46090</v>
      </c>
      <c r="C298" s="17">
        <v>2</v>
      </c>
      <c r="D298" s="17" t="str">
        <f>IF(Entradas[[#This Row],[Proveedor (código)]]="","",VLOOKUP(Entradas[[#This Row],[Proveedor (código)]],Proveedores[[#All],[Código]:[Nombre fiscal]],2,FALSE))</f>
        <v>PLAZA VEA B.A</v>
      </c>
      <c r="E298" s="29" t="s">
        <v>919</v>
      </c>
      <c r="F298" s="17" t="str">
        <f>IF(Entradas[[#This Row],[Artículo (código)]]="","",VLOOKUP(Entradas[[#This Row],[Artículo (código)]],Existencias!A:D,4,FALSE))</f>
        <v>Fideos cortos 250 gr</v>
      </c>
      <c r="G298" s="17">
        <v>9</v>
      </c>
      <c r="H298" s="57">
        <f>VLOOKUP(Entradas[[#This Row],[Artículo (código)]],Existencias!A:F,6,FALSE)*Entradas[[#This Row],[Cantidad]]</f>
        <v>23.22</v>
      </c>
      <c r="I298" s="58">
        <f>Entradas[[#This Row],[Precio POR UNIDAD]]*Entradas[[#This Row],[Cantidad]]</f>
        <v>208.98</v>
      </c>
    </row>
    <row r="299" spans="1:9" x14ac:dyDescent="0.3">
      <c r="A299" s="17"/>
      <c r="B299" s="18">
        <v>46090</v>
      </c>
      <c r="C299" s="17">
        <v>2</v>
      </c>
      <c r="D299" s="17" t="str">
        <f>IF(Entradas[[#This Row],[Proveedor (código)]]="","",VLOOKUP(Entradas[[#This Row],[Proveedor (código)]],Proveedores[[#All],[Código]:[Nombre fiscal]],2,FALSE))</f>
        <v>PLAZA VEA B.A</v>
      </c>
      <c r="E299" s="29" t="s">
        <v>916</v>
      </c>
      <c r="F299" s="17" t="str">
        <f>IF(Entradas[[#This Row],[Artículo (código)]]="","",VLOOKUP(Entradas[[#This Row],[Artículo (código)]],Existencias!A:D,4,FALSE))</f>
        <v>Fideos largos 500 gr</v>
      </c>
      <c r="G299" s="17">
        <v>2</v>
      </c>
      <c r="H299" s="57">
        <f>VLOOKUP(Entradas[[#This Row],[Artículo (código)]],Existencias!A:F,6,FALSE)*Entradas[[#This Row],[Cantidad]]</f>
        <v>5.42</v>
      </c>
      <c r="I299" s="58">
        <f>Entradas[[#This Row],[Precio POR UNIDAD]]*Entradas[[#This Row],[Cantidad]]</f>
        <v>10.84</v>
      </c>
    </row>
    <row r="300" spans="1:9" x14ac:dyDescent="0.3">
      <c r="A300" s="17"/>
      <c r="B300" s="18">
        <v>46090</v>
      </c>
      <c r="C300" s="17">
        <v>2</v>
      </c>
      <c r="D300" s="17" t="str">
        <f>IF(Entradas[[#This Row],[Proveedor (código)]]="","",VLOOKUP(Entradas[[#This Row],[Proveedor (código)]],Proveedores[[#All],[Código]:[Nombre fiscal]],2,FALSE))</f>
        <v>PLAZA VEA B.A</v>
      </c>
      <c r="E300" s="29" t="s">
        <v>917</v>
      </c>
      <c r="F300" s="17" t="str">
        <f>IF(Entradas[[#This Row],[Artículo (código)]]="","",VLOOKUP(Entradas[[#This Row],[Artículo (código)]],Existencias!A:D,4,FALSE))</f>
        <v>Fideos largos 900 gr</v>
      </c>
      <c r="G300" s="17">
        <v>1</v>
      </c>
      <c r="H300" s="57">
        <f>VLOOKUP(Entradas[[#This Row],[Artículo (código)]],Existencias!A:F,6,FALSE)*Entradas[[#This Row],[Cantidad]]</f>
        <v>4.75</v>
      </c>
      <c r="I300" s="58">
        <f>Entradas[[#This Row],[Precio POR UNIDAD]]*Entradas[[#This Row],[Cantidad]]</f>
        <v>4.75</v>
      </c>
    </row>
    <row r="301" spans="1:9" x14ac:dyDescent="0.3">
      <c r="A301" s="17"/>
      <c r="B301" s="18">
        <v>46090</v>
      </c>
      <c r="C301" s="17">
        <v>2</v>
      </c>
      <c r="D301" s="17" t="str">
        <f>IF(Entradas[[#This Row],[Proveedor (código)]]="","",VLOOKUP(Entradas[[#This Row],[Proveedor (código)]],Proveedores[[#All],[Código]:[Nombre fiscal]],2,FALSE))</f>
        <v>PLAZA VEA B.A</v>
      </c>
      <c r="E301" s="29" t="s">
        <v>754</v>
      </c>
      <c r="F301" s="17" t="str">
        <f>IF(Entradas[[#This Row],[Artículo (código)]]="","",VLOOKUP(Entradas[[#This Row],[Artículo (código)]],Existencias!A:D,4,FALSE))</f>
        <v>Azucar rubia 2 kg</v>
      </c>
      <c r="G301" s="17">
        <v>1</v>
      </c>
      <c r="H301" s="57">
        <f>VLOOKUP(Entradas[[#This Row],[Artículo (código)]],Existencias!A:F,6,FALSE)*Entradas[[#This Row],[Cantidad]]</f>
        <v>5.97</v>
      </c>
      <c r="I301" s="58">
        <f>Entradas[[#This Row],[Precio POR UNIDAD]]*Entradas[[#This Row],[Cantidad]]</f>
        <v>5.97</v>
      </c>
    </row>
    <row r="302" spans="1:9" x14ac:dyDescent="0.3">
      <c r="A302" s="17"/>
      <c r="B302" s="18">
        <v>46090</v>
      </c>
      <c r="C302" s="17">
        <v>2</v>
      </c>
      <c r="D302" s="17" t="str">
        <f>IF(Entradas[[#This Row],[Proveedor (código)]]="","",VLOOKUP(Entradas[[#This Row],[Proveedor (código)]],Proveedores[[#All],[Código]:[Nombre fiscal]],2,FALSE))</f>
        <v>PLAZA VEA B.A</v>
      </c>
      <c r="E302" s="29" t="s">
        <v>920</v>
      </c>
      <c r="F302" s="17" t="str">
        <f>IF(Entradas[[#This Row],[Artículo (código)]]="","",VLOOKUP(Entradas[[#This Row],[Artículo (código)]],Existencias!A:D,4,FALSE))</f>
        <v>Fideos cortos 500 gr</v>
      </c>
      <c r="G302" s="17">
        <v>1</v>
      </c>
      <c r="H302" s="57">
        <f>VLOOKUP(Entradas[[#This Row],[Artículo (código)]],Existencias!A:F,6,FALSE)*Entradas[[#This Row],[Cantidad]]</f>
        <v>0</v>
      </c>
      <c r="I302" s="58">
        <f>Entradas[[#This Row],[Precio POR UNIDAD]]*Entradas[[#This Row],[Cantidad]]</f>
        <v>0</v>
      </c>
    </row>
    <row r="303" spans="1:9" x14ac:dyDescent="0.3">
      <c r="A303" s="17"/>
      <c r="B303" s="18">
        <v>46090</v>
      </c>
      <c r="C303" s="17">
        <v>2</v>
      </c>
      <c r="D303" s="17" t="str">
        <f>IF(Entradas[[#This Row],[Proveedor (código)]]="","",VLOOKUP(Entradas[[#This Row],[Proveedor (código)]],Proveedores[[#All],[Código]:[Nombre fiscal]],2,FALSE))</f>
        <v>PLAZA VEA B.A</v>
      </c>
      <c r="E303" s="29" t="s">
        <v>703</v>
      </c>
      <c r="F303" s="17" t="str">
        <f>IF(Entradas[[#This Row],[Artículo (código)]]="","",VLOOKUP(Entradas[[#This Row],[Artículo (código)]],Existencias!A:D,4,FALSE))</f>
        <v>Leche Evaporada  390 gr lata</v>
      </c>
      <c r="G303" s="17">
        <v>1</v>
      </c>
      <c r="H303" s="57">
        <f>VLOOKUP(Entradas[[#This Row],[Artículo (código)]],Existencias!A:F,6,FALSE)*Entradas[[#This Row],[Cantidad]]</f>
        <v>0</v>
      </c>
      <c r="I303" s="58">
        <f>Entradas[[#This Row],[Precio POR UNIDAD]]*Entradas[[#This Row],[Cantidad]]</f>
        <v>0</v>
      </c>
    </row>
    <row r="304" spans="1:9" x14ac:dyDescent="0.3">
      <c r="A304" s="17"/>
      <c r="B304" s="18">
        <v>46090</v>
      </c>
      <c r="C304" s="17">
        <v>2</v>
      </c>
      <c r="D304" s="17" t="str">
        <f>IF(Entradas[[#This Row],[Proveedor (código)]]="","",VLOOKUP(Entradas[[#This Row],[Proveedor (código)]],Proveedores[[#All],[Código]:[Nombre fiscal]],2,FALSE))</f>
        <v>PLAZA VEA B.A</v>
      </c>
      <c r="E304" s="29" t="s">
        <v>705</v>
      </c>
      <c r="F304" s="17" t="str">
        <f>IF(Entradas[[#This Row],[Artículo (código)]]="","",VLOOKUP(Entradas[[#This Row],[Artículo (código)]],Existencias!A:D,4,FALSE))</f>
        <v>Leche descramada 390 lata</v>
      </c>
      <c r="G304" s="17">
        <v>1</v>
      </c>
      <c r="H304" s="57">
        <f>VLOOKUP(Entradas[[#This Row],[Artículo (código)]],Existencias!A:F,6,FALSE)*Entradas[[#This Row],[Cantidad]]</f>
        <v>0</v>
      </c>
      <c r="I304" s="58">
        <f>Entradas[[#This Row],[Precio POR UNIDAD]]*Entradas[[#This Row],[Cantidad]]</f>
        <v>0</v>
      </c>
    </row>
    <row r="305" spans="1:9" x14ac:dyDescent="0.3">
      <c r="A305" s="17"/>
      <c r="B305" s="18">
        <v>46090</v>
      </c>
      <c r="C305" s="17">
        <v>4</v>
      </c>
      <c r="D305" s="17" t="str">
        <f>IF(Entradas[[#This Row],[Proveedor (código)]]="","",VLOOKUP(Entradas[[#This Row],[Proveedor (código)]],Proveedores[[#All],[Código]:[Nombre fiscal]],2,FALSE))</f>
        <v>Metro B.A</v>
      </c>
      <c r="E305" s="29" t="s">
        <v>800</v>
      </c>
      <c r="F305" s="17" t="str">
        <f>IF(Entradas[[#This Row],[Artículo (código)]]="","",VLOOKUP(Entradas[[#This Row],[Artículo (código)]],Existencias!A:D,4,FALSE))</f>
        <v xml:space="preserve">Arroz 5 kg </v>
      </c>
      <c r="G305" s="17">
        <v>1</v>
      </c>
      <c r="H305" s="57">
        <f>VLOOKUP(Entradas[[#This Row],[Artículo (código)]],Existencias!A:F,6,FALSE)*Entradas[[#This Row],[Cantidad]]</f>
        <v>24.95</v>
      </c>
      <c r="I305" s="58">
        <f>Entradas[[#This Row],[Precio POR UNIDAD]]*Entradas[[#This Row],[Cantidad]]</f>
        <v>24.95</v>
      </c>
    </row>
    <row r="306" spans="1:9" x14ac:dyDescent="0.3">
      <c r="A306" s="17"/>
      <c r="B306" s="18">
        <v>46090</v>
      </c>
      <c r="C306" s="17">
        <v>4</v>
      </c>
      <c r="D306" s="17" t="str">
        <f>IF(Entradas[[#This Row],[Proveedor (código)]]="","",VLOOKUP(Entradas[[#This Row],[Proveedor (código)]],Proveedores[[#All],[Código]:[Nombre fiscal]],2,FALSE))</f>
        <v>Metro B.A</v>
      </c>
      <c r="E306" s="29" t="s">
        <v>755</v>
      </c>
      <c r="F306" s="17" t="str">
        <f>IF(Entradas[[#This Row],[Artículo (código)]]="","",VLOOKUP(Entradas[[#This Row],[Artículo (código)]],Existencias!A:D,4,FALSE))</f>
        <v>Azucar rubia 5 kg</v>
      </c>
      <c r="G306" s="17">
        <v>2</v>
      </c>
      <c r="H306" s="57">
        <f>VLOOKUP(Entradas[[#This Row],[Artículo (código)]],Existencias!A:F,6,FALSE)*Entradas[[#This Row],[Cantidad]]</f>
        <v>31.78</v>
      </c>
      <c r="I306" s="58">
        <f>Entradas[[#This Row],[Precio POR UNIDAD]]*Entradas[[#This Row],[Cantidad]]</f>
        <v>63.56</v>
      </c>
    </row>
    <row r="307" spans="1:9" x14ac:dyDescent="0.3">
      <c r="A307" s="17"/>
      <c r="B307" s="18">
        <v>46090</v>
      </c>
      <c r="C307" s="17">
        <v>4</v>
      </c>
      <c r="D307" s="17" t="str">
        <f>IF(Entradas[[#This Row],[Proveedor (código)]]="","",VLOOKUP(Entradas[[#This Row],[Proveedor (código)]],Proveedores[[#All],[Código]:[Nombre fiscal]],2,FALSE))</f>
        <v>Metro B.A</v>
      </c>
      <c r="E307" s="29" t="s">
        <v>753</v>
      </c>
      <c r="F307" s="17" t="str">
        <f>IF(Entradas[[#This Row],[Artículo (código)]]="","",VLOOKUP(Entradas[[#This Row],[Artículo (código)]],Existencias!A:D,4,FALSE))</f>
        <v>Azucar rubia 1kg</v>
      </c>
      <c r="G307" s="17">
        <v>1</v>
      </c>
      <c r="H307" s="57">
        <f>VLOOKUP(Entradas[[#This Row],[Artículo (código)]],Existencias!A:F,6,FALSE)*Entradas[[#This Row],[Cantidad]]</f>
        <v>3.29</v>
      </c>
      <c r="I307" s="58">
        <f>Entradas[[#This Row],[Precio POR UNIDAD]]*Entradas[[#This Row],[Cantidad]]</f>
        <v>3.29</v>
      </c>
    </row>
    <row r="308" spans="1:9" x14ac:dyDescent="0.3">
      <c r="A308" s="17"/>
      <c r="B308" s="18">
        <v>46090</v>
      </c>
      <c r="C308" s="17">
        <v>4</v>
      </c>
      <c r="D308" s="17" t="str">
        <f>IF(Entradas[[#This Row],[Proveedor (código)]]="","",VLOOKUP(Entradas[[#This Row],[Proveedor (código)]],Proveedores[[#All],[Código]:[Nombre fiscal]],2,FALSE))</f>
        <v>Metro B.A</v>
      </c>
      <c r="E308" s="29" t="s">
        <v>919</v>
      </c>
      <c r="F308" s="17" t="str">
        <f>IF(Entradas[[#This Row],[Artículo (código)]]="","",VLOOKUP(Entradas[[#This Row],[Artículo (código)]],Existencias!A:D,4,FALSE))</f>
        <v>Fideos cortos 250 gr</v>
      </c>
      <c r="G308" s="17">
        <v>5</v>
      </c>
      <c r="H308" s="57">
        <f>VLOOKUP(Entradas[[#This Row],[Artículo (código)]],Existencias!A:F,6,FALSE)*Entradas[[#This Row],[Cantidad]]</f>
        <v>12.9</v>
      </c>
      <c r="I308" s="58">
        <f>Entradas[[#This Row],[Precio POR UNIDAD]]*Entradas[[#This Row],[Cantidad]]</f>
        <v>64.5</v>
      </c>
    </row>
    <row r="309" spans="1:9" x14ac:dyDescent="0.3">
      <c r="A309" s="17"/>
      <c r="B309" s="18">
        <v>46090</v>
      </c>
      <c r="C309" s="17">
        <v>4</v>
      </c>
      <c r="D309" s="17" t="str">
        <f>IF(Entradas[[#This Row],[Proveedor (código)]]="","",VLOOKUP(Entradas[[#This Row],[Proveedor (código)]],Proveedores[[#All],[Código]:[Nombre fiscal]],2,FALSE))</f>
        <v>Metro B.A</v>
      </c>
      <c r="E309" s="29" t="s">
        <v>917</v>
      </c>
      <c r="F309" s="17" t="str">
        <f>IF(Entradas[[#This Row],[Artículo (código)]]="","",VLOOKUP(Entradas[[#This Row],[Artículo (código)]],Existencias!A:D,4,FALSE))</f>
        <v>Fideos largos 900 gr</v>
      </c>
      <c r="G309" s="17">
        <v>1</v>
      </c>
      <c r="H309" s="57">
        <f>VLOOKUP(Entradas[[#This Row],[Artículo (código)]],Existencias!A:F,6,FALSE)*Entradas[[#This Row],[Cantidad]]</f>
        <v>4.75</v>
      </c>
      <c r="I309" s="58">
        <f>Entradas[[#This Row],[Precio POR UNIDAD]]*Entradas[[#This Row],[Cantidad]]</f>
        <v>4.75</v>
      </c>
    </row>
    <row r="310" spans="1:9" x14ac:dyDescent="0.3">
      <c r="A310" s="17"/>
      <c r="B310" s="18">
        <v>46090</v>
      </c>
      <c r="C310" s="17">
        <v>4</v>
      </c>
      <c r="D310" s="17" t="str">
        <f>IF(Entradas[[#This Row],[Proveedor (código)]]="","",VLOOKUP(Entradas[[#This Row],[Proveedor (código)]],Proveedores[[#All],[Código]:[Nombre fiscal]],2,FALSE))</f>
        <v>Metro B.A</v>
      </c>
      <c r="E310" s="29" t="s">
        <v>916</v>
      </c>
      <c r="F310" s="17" t="str">
        <f>IF(Entradas[[#This Row],[Artículo (código)]]="","",VLOOKUP(Entradas[[#This Row],[Artículo (código)]],Existencias!A:D,4,FALSE))</f>
        <v>Fideos largos 500 gr</v>
      </c>
      <c r="G310" s="17">
        <v>1</v>
      </c>
      <c r="H310" s="57">
        <f>VLOOKUP(Entradas[[#This Row],[Artículo (código)]],Existencias!A:F,6,FALSE)*Entradas[[#This Row],[Cantidad]]</f>
        <v>2.71</v>
      </c>
      <c r="I310" s="58">
        <f>Entradas[[#This Row],[Precio POR UNIDAD]]*Entradas[[#This Row],[Cantidad]]</f>
        <v>2.71</v>
      </c>
    </row>
    <row r="311" spans="1:9" x14ac:dyDescent="0.3">
      <c r="A311" s="17"/>
      <c r="B311" s="18">
        <v>46090</v>
      </c>
      <c r="C311" s="17">
        <v>4</v>
      </c>
      <c r="D311" s="17" t="str">
        <f>IF(Entradas[[#This Row],[Proveedor (código)]]="","",VLOOKUP(Entradas[[#This Row],[Proveedor (código)]],Proveedores[[#All],[Código]:[Nombre fiscal]],2,FALSE))</f>
        <v>Metro B.A</v>
      </c>
      <c r="E311" s="29" t="s">
        <v>799</v>
      </c>
      <c r="F311" s="17" t="str">
        <f>IF(Entradas[[#This Row],[Artículo (código)]]="","",VLOOKUP(Entradas[[#This Row],[Artículo (código)]],Existencias!A:D,4,FALSE))</f>
        <v>Arroz 1 kg</v>
      </c>
      <c r="G311" s="17">
        <v>1</v>
      </c>
      <c r="H311" s="57">
        <f>VLOOKUP(Entradas[[#This Row],[Artículo (código)]],Existencias!A:F,6,FALSE)*Entradas[[#This Row],[Cantidad]]</f>
        <v>4.7300000000000004</v>
      </c>
      <c r="I311" s="58">
        <f>Entradas[[#This Row],[Precio POR UNIDAD]]*Entradas[[#This Row],[Cantidad]]</f>
        <v>4.7300000000000004</v>
      </c>
    </row>
    <row r="312" spans="1:9" x14ac:dyDescent="0.3">
      <c r="A312" s="17"/>
      <c r="B312" s="18">
        <v>46090</v>
      </c>
      <c r="C312" s="17">
        <v>4</v>
      </c>
      <c r="D312" s="17" t="str">
        <f>IF(Entradas[[#This Row],[Proveedor (código)]]="","",VLOOKUP(Entradas[[#This Row],[Proveedor (código)]],Proveedores[[#All],[Código]:[Nombre fiscal]],2,FALSE))</f>
        <v>Metro B.A</v>
      </c>
      <c r="E312" s="29" t="s">
        <v>788</v>
      </c>
      <c r="F312" s="17" t="str">
        <f>IF(Entradas[[#This Row],[Artículo (código)]]="","",VLOOKUP(Entradas[[#This Row],[Artículo (código)]],Existencias!A:D,4,FALSE))</f>
        <v>Avena  1 kl</v>
      </c>
      <c r="G312" s="17">
        <v>2</v>
      </c>
      <c r="H312" s="57">
        <f>VLOOKUP(Entradas[[#This Row],[Artículo (código)]],Existencias!A:F,6,FALSE)*Entradas[[#This Row],[Cantidad]]</f>
        <v>15.5</v>
      </c>
      <c r="I312" s="58">
        <f>Entradas[[#This Row],[Precio POR UNIDAD]]*Entradas[[#This Row],[Cantidad]]</f>
        <v>31</v>
      </c>
    </row>
    <row r="313" spans="1:9" x14ac:dyDescent="0.3">
      <c r="A313" s="17"/>
      <c r="B313" s="18">
        <v>46090</v>
      </c>
      <c r="C313" s="17">
        <v>4</v>
      </c>
      <c r="D313" s="17" t="str">
        <f>IF(Entradas[[#This Row],[Proveedor (código)]]="","",VLOOKUP(Entradas[[#This Row],[Proveedor (código)]],Proveedores[[#All],[Código]:[Nombre fiscal]],2,FALSE))</f>
        <v>Metro B.A</v>
      </c>
      <c r="E313" s="29" t="s">
        <v>1219</v>
      </c>
      <c r="F313" s="17" t="str">
        <f>IF(Entradas[[#This Row],[Artículo (código)]]="","",VLOOKUP(Entradas[[#This Row],[Artículo (código)]],Existencias!A:D,4,FALSE))</f>
        <v>Papa Seca 500 gr</v>
      </c>
      <c r="G313" s="17">
        <v>1</v>
      </c>
      <c r="H313" s="57">
        <f>VLOOKUP(Entradas[[#This Row],[Artículo (código)]],Existencias!A:F,6,FALSE)*Entradas[[#This Row],[Cantidad]]</f>
        <v>5.79</v>
      </c>
      <c r="I313" s="58">
        <f>Entradas[[#This Row],[Precio POR UNIDAD]]*Entradas[[#This Row],[Cantidad]]</f>
        <v>5.79</v>
      </c>
    </row>
    <row r="314" spans="1:9" x14ac:dyDescent="0.3">
      <c r="A314" s="17"/>
      <c r="B314" s="18">
        <v>46094</v>
      </c>
      <c r="C314" s="17">
        <v>2</v>
      </c>
      <c r="D314" s="17" t="str">
        <f>IF(Entradas[[#This Row],[Proveedor (código)]]="","",VLOOKUP(Entradas[[#This Row],[Proveedor (código)]],Proveedores[[#All],[Código]:[Nombre fiscal]],2,FALSE))</f>
        <v>PLAZA VEA B.A</v>
      </c>
      <c r="E314" s="29" t="s">
        <v>919</v>
      </c>
      <c r="F314" s="17" t="str">
        <f>IF(Entradas[[#This Row],[Artículo (código)]]="","",VLOOKUP(Entradas[[#This Row],[Artículo (código)]],Existencias!A:D,4,FALSE))</f>
        <v>Fideos cortos 250 gr</v>
      </c>
      <c r="G314" s="17">
        <v>5</v>
      </c>
      <c r="H314" s="57">
        <f>VLOOKUP(Entradas[[#This Row],[Artículo (código)]],Existencias!A:F,6,FALSE)*Entradas[[#This Row],[Cantidad]]</f>
        <v>12.9</v>
      </c>
      <c r="I314" s="58">
        <f>Entradas[[#This Row],[Precio POR UNIDAD]]*Entradas[[#This Row],[Cantidad]]</f>
        <v>64.5</v>
      </c>
    </row>
    <row r="315" spans="1:9" x14ac:dyDescent="0.3">
      <c r="A315" s="17"/>
      <c r="B315" s="18">
        <v>46094</v>
      </c>
      <c r="C315" s="17">
        <v>2</v>
      </c>
      <c r="D315" s="17" t="str">
        <f>IF(Entradas[[#This Row],[Proveedor (código)]]="","",VLOOKUP(Entradas[[#This Row],[Proveedor (código)]],Proveedores[[#All],[Código]:[Nombre fiscal]],2,FALSE))</f>
        <v>PLAZA VEA B.A</v>
      </c>
      <c r="E315" s="29" t="s">
        <v>1246</v>
      </c>
      <c r="F315" s="17" t="str">
        <f>IF(Entradas[[#This Row],[Artículo (código)]]="","",VLOOKUP(Entradas[[#This Row],[Artículo (código)]],Existencias!A:D,4,FALSE))</f>
        <v>Semola 200 gr</v>
      </c>
      <c r="G315" s="17">
        <v>2</v>
      </c>
      <c r="H315" s="57">
        <f>VLOOKUP(Entradas[[#This Row],[Artículo (código)]],Existencias!A:F,6,FALSE)*Entradas[[#This Row],[Cantidad]]</f>
        <v>0</v>
      </c>
      <c r="I315" s="58">
        <f>Entradas[[#This Row],[Precio POR UNIDAD]]*Entradas[[#This Row],[Cantidad]]</f>
        <v>0</v>
      </c>
    </row>
    <row r="316" spans="1:9" x14ac:dyDescent="0.3">
      <c r="A316" s="17"/>
      <c r="B316" s="18">
        <v>46094</v>
      </c>
      <c r="C316" s="17">
        <v>2</v>
      </c>
      <c r="D316" s="17" t="str">
        <f>IF(Entradas[[#This Row],[Proveedor (código)]]="","",VLOOKUP(Entradas[[#This Row],[Proveedor (código)]],Proveedores[[#All],[Código]:[Nombre fiscal]],2,FALSE))</f>
        <v>PLAZA VEA B.A</v>
      </c>
      <c r="E316" s="29" t="s">
        <v>1208</v>
      </c>
      <c r="F316" s="17" t="str">
        <f>IF(Entradas[[#This Row],[Artículo (código)]]="","",VLOOKUP(Entradas[[#This Row],[Artículo (código)]],Existencias!A:D,4,FALSE))</f>
        <v>Moron 1 kl</v>
      </c>
      <c r="G316" s="17">
        <v>0.75</v>
      </c>
      <c r="H316" s="57">
        <f>VLOOKUP(Entradas[[#This Row],[Artículo (código)]],Existencias!A:F,6,FALSE)*Entradas[[#This Row],[Cantidad]]</f>
        <v>0</v>
      </c>
      <c r="I316" s="58">
        <f>Entradas[[#This Row],[Precio POR UNIDAD]]*Entradas[[#This Row],[Cantidad]]</f>
        <v>0</v>
      </c>
    </row>
    <row r="317" spans="1:9" x14ac:dyDescent="0.3">
      <c r="A317" s="17"/>
      <c r="B317" s="18">
        <v>46094</v>
      </c>
      <c r="C317" s="17">
        <v>2</v>
      </c>
      <c r="D317" s="17" t="str">
        <f>IF(Entradas[[#This Row],[Proveedor (código)]]="","",VLOOKUP(Entradas[[#This Row],[Proveedor (código)]],Proveedores[[#All],[Código]:[Nombre fiscal]],2,FALSE))</f>
        <v>PLAZA VEA B.A</v>
      </c>
      <c r="E317" s="29" t="s">
        <v>723</v>
      </c>
      <c r="F317" s="17" t="str">
        <f>IF(Entradas[[#This Row],[Artículo (código)]]="","",VLOOKUP(Entradas[[#This Row],[Artículo (código)]],Existencias!A:D,4,FALSE))</f>
        <v>Pollo fresco entero</v>
      </c>
      <c r="G317" s="17">
        <v>5</v>
      </c>
      <c r="H317" s="57">
        <f>VLOOKUP(Entradas[[#This Row],[Artículo (código)]],Existencias!A:F,6,FALSE)*Entradas[[#This Row],[Cantidad]]</f>
        <v>0</v>
      </c>
      <c r="I317" s="58">
        <f>Entradas[[#This Row],[Precio POR UNIDAD]]*Entradas[[#This Row],[Cantidad]]</f>
        <v>0</v>
      </c>
    </row>
    <row r="318" spans="1:9" x14ac:dyDescent="0.3">
      <c r="A318" s="17"/>
      <c r="B318" s="18">
        <v>46097</v>
      </c>
      <c r="C318" s="17">
        <v>12</v>
      </c>
      <c r="D318" s="17" t="str">
        <f>IF(Entradas[[#This Row],[Proveedor (código)]]="","",VLOOKUP(Entradas[[#This Row],[Proveedor (código)]],Proveedores[[#All],[Código]:[Nombre fiscal]],2,FALSE))</f>
        <v xml:space="preserve">Pilar Coronado  </v>
      </c>
      <c r="E318" s="29" t="s">
        <v>989</v>
      </c>
      <c r="F318" s="17" t="str">
        <f>IF(Entradas[[#This Row],[Artículo (código)]]="","",VLOOKUP(Entradas[[#This Row],[Artículo (código)]],Existencias!A:D,4,FALSE))</f>
        <v>Huevo pardo</v>
      </c>
      <c r="G318" s="17">
        <v>48</v>
      </c>
      <c r="H318" s="57">
        <f>VLOOKUP(Entradas[[#This Row],[Artículo (código)]],Existencias!A:F,6,FALSE)*Entradas[[#This Row],[Cantidad]]</f>
        <v>0</v>
      </c>
      <c r="I318" s="58">
        <f>Entradas[[#This Row],[Precio POR UNIDAD]]*Entradas[[#This Row],[Cantidad]]</f>
        <v>0</v>
      </c>
    </row>
    <row r="319" spans="1:9" x14ac:dyDescent="0.3">
      <c r="A319" s="17"/>
      <c r="B319" s="18">
        <v>46097</v>
      </c>
      <c r="C319" s="17">
        <v>4</v>
      </c>
      <c r="D319" s="17" t="str">
        <f>IF(Entradas[[#This Row],[Proveedor (código)]]="","",VLOOKUP(Entradas[[#This Row],[Proveedor (código)]],Proveedores[[#All],[Código]:[Nombre fiscal]],2,FALSE))</f>
        <v>Metro B.A</v>
      </c>
      <c r="E319" s="29" t="s">
        <v>800</v>
      </c>
      <c r="F319" s="17" t="str">
        <f>IF(Entradas[[#This Row],[Artículo (código)]]="","",VLOOKUP(Entradas[[#This Row],[Artículo (código)]],Existencias!A:D,4,FALSE))</f>
        <v xml:space="preserve">Arroz 5 kg </v>
      </c>
      <c r="G319" s="17">
        <v>2</v>
      </c>
      <c r="H319" s="57">
        <f>VLOOKUP(Entradas[[#This Row],[Artículo (código)]],Existencias!A:F,6,FALSE)*Entradas[[#This Row],[Cantidad]]</f>
        <v>49.9</v>
      </c>
      <c r="I319" s="58">
        <f>Entradas[[#This Row],[Precio POR UNIDAD]]*Entradas[[#This Row],[Cantidad]]</f>
        <v>99.8</v>
      </c>
    </row>
    <row r="320" spans="1:9" x14ac:dyDescent="0.3">
      <c r="A320" s="17"/>
      <c r="B320" s="18">
        <v>46097</v>
      </c>
      <c r="C320" s="17">
        <v>4</v>
      </c>
      <c r="D320" s="17" t="str">
        <f>IF(Entradas[[#This Row],[Proveedor (código)]]="","",VLOOKUP(Entradas[[#This Row],[Proveedor (código)]],Proveedores[[#All],[Código]:[Nombre fiscal]],2,FALSE))</f>
        <v>Metro B.A</v>
      </c>
      <c r="E320" s="29" t="s">
        <v>962</v>
      </c>
      <c r="F320" s="17" t="str">
        <f>IF(Entradas[[#This Row],[Artículo (código)]]="","",VLOOKUP(Entradas[[#This Row],[Artículo (código)]],Existencias!A:D,4,FALSE))</f>
        <v>Harina s/preparar 1kg</v>
      </c>
      <c r="G320" s="17">
        <v>3</v>
      </c>
      <c r="H320" s="57">
        <f>VLOOKUP(Entradas[[#This Row],[Artículo (código)]],Existencias!A:F,6,FALSE)*Entradas[[#This Row],[Cantidad]]</f>
        <v>10.56</v>
      </c>
      <c r="I320" s="58">
        <f>Entradas[[#This Row],[Precio POR UNIDAD]]*Entradas[[#This Row],[Cantidad]]</f>
        <v>31.68</v>
      </c>
    </row>
    <row r="321" spans="1:9" x14ac:dyDescent="0.3">
      <c r="A321" s="17"/>
      <c r="B321" s="18">
        <v>46097</v>
      </c>
      <c r="C321" s="17">
        <v>4</v>
      </c>
      <c r="D321" s="17" t="str">
        <f>IF(Entradas[[#This Row],[Proveedor (código)]]="","",VLOOKUP(Entradas[[#This Row],[Proveedor (código)]],Proveedores[[#All],[Código]:[Nombre fiscal]],2,FALSE))</f>
        <v>Metro B.A</v>
      </c>
      <c r="E321" s="29" t="s">
        <v>917</v>
      </c>
      <c r="F321" s="17" t="str">
        <f>IF(Entradas[[#This Row],[Artículo (código)]]="","",VLOOKUP(Entradas[[#This Row],[Artículo (código)]],Existencias!A:D,4,FALSE))</f>
        <v>Fideos largos 900 gr</v>
      </c>
      <c r="G321" s="17">
        <v>6</v>
      </c>
      <c r="H321" s="57">
        <f>VLOOKUP(Entradas[[#This Row],[Artículo (código)]],Existencias!A:F,6,FALSE)*Entradas[[#This Row],[Cantidad]]</f>
        <v>28.5</v>
      </c>
      <c r="I321" s="58">
        <f>Entradas[[#This Row],[Precio POR UNIDAD]]*Entradas[[#This Row],[Cantidad]]</f>
        <v>171</v>
      </c>
    </row>
    <row r="322" spans="1:9" x14ac:dyDescent="0.3">
      <c r="A322" s="17"/>
      <c r="B322" s="18">
        <v>46097</v>
      </c>
      <c r="C322" s="17">
        <v>4</v>
      </c>
      <c r="D322" s="17" t="str">
        <f>IF(Entradas[[#This Row],[Proveedor (código)]]="","",VLOOKUP(Entradas[[#This Row],[Proveedor (código)]],Proveedores[[#All],[Código]:[Nombre fiscal]],2,FALSE))</f>
        <v>Metro B.A</v>
      </c>
      <c r="E322" s="29" t="s">
        <v>916</v>
      </c>
      <c r="F322" s="17" t="str">
        <f>IF(Entradas[[#This Row],[Artículo (código)]]="","",VLOOKUP(Entradas[[#This Row],[Artículo (código)]],Existencias!A:D,4,FALSE))</f>
        <v>Fideos largos 500 gr</v>
      </c>
      <c r="G322" s="17">
        <v>2</v>
      </c>
      <c r="H322" s="57">
        <f>VLOOKUP(Entradas[[#This Row],[Artículo (código)]],Existencias!A:F,6,FALSE)*Entradas[[#This Row],[Cantidad]]</f>
        <v>5.42</v>
      </c>
      <c r="I322" s="58">
        <f>Entradas[[#This Row],[Precio POR UNIDAD]]*Entradas[[#This Row],[Cantidad]]</f>
        <v>10.84</v>
      </c>
    </row>
    <row r="323" spans="1:9" x14ac:dyDescent="0.3">
      <c r="A323" s="17"/>
      <c r="B323" s="18">
        <v>46097</v>
      </c>
      <c r="C323" s="17">
        <v>4</v>
      </c>
      <c r="D323" s="17" t="str">
        <f>IF(Entradas[[#This Row],[Proveedor (código)]]="","",VLOOKUP(Entradas[[#This Row],[Proveedor (código)]],Proveedores[[#All],[Código]:[Nombre fiscal]],2,FALSE))</f>
        <v>Metro B.A</v>
      </c>
      <c r="E323" s="29" t="s">
        <v>755</v>
      </c>
      <c r="F323" s="17" t="str">
        <f>IF(Entradas[[#This Row],[Artículo (código)]]="","",VLOOKUP(Entradas[[#This Row],[Artículo (código)]],Existencias!A:D,4,FALSE))</f>
        <v>Azucar rubia 5 kg</v>
      </c>
      <c r="G323" s="17">
        <v>5</v>
      </c>
      <c r="H323" s="57">
        <f>VLOOKUP(Entradas[[#This Row],[Artículo (código)]],Existencias!A:F,6,FALSE)*Entradas[[#This Row],[Cantidad]]</f>
        <v>79.45</v>
      </c>
      <c r="I323" s="58">
        <f>Entradas[[#This Row],[Precio POR UNIDAD]]*Entradas[[#This Row],[Cantidad]]</f>
        <v>397.25</v>
      </c>
    </row>
    <row r="324" spans="1:9" x14ac:dyDescent="0.3">
      <c r="A324" s="17"/>
      <c r="B324" s="18">
        <v>46097</v>
      </c>
      <c r="C324" s="17">
        <v>4</v>
      </c>
      <c r="D324" s="17" t="str">
        <f>IF(Entradas[[#This Row],[Proveedor (código)]]="","",VLOOKUP(Entradas[[#This Row],[Proveedor (código)]],Proveedores[[#All],[Código]:[Nombre fiscal]],2,FALSE))</f>
        <v>Metro B.A</v>
      </c>
      <c r="E324" s="29" t="s">
        <v>753</v>
      </c>
      <c r="F324" s="17" t="str">
        <f>IF(Entradas[[#This Row],[Artículo (código)]]="","",VLOOKUP(Entradas[[#This Row],[Artículo (código)]],Existencias!A:D,4,FALSE))</f>
        <v>Azucar rubia 1kg</v>
      </c>
      <c r="G324" s="17">
        <v>1</v>
      </c>
      <c r="H324" s="57">
        <f>VLOOKUP(Entradas[[#This Row],[Artículo (código)]],Existencias!A:F,6,FALSE)*Entradas[[#This Row],[Cantidad]]</f>
        <v>3.29</v>
      </c>
      <c r="I324" s="58">
        <f>Entradas[[#This Row],[Precio POR UNIDAD]]*Entradas[[#This Row],[Cantidad]]</f>
        <v>3.29</v>
      </c>
    </row>
    <row r="325" spans="1:9" x14ac:dyDescent="0.3">
      <c r="A325" s="17"/>
      <c r="B325" s="18">
        <v>46097</v>
      </c>
      <c r="C325" s="17">
        <v>4</v>
      </c>
      <c r="D325" s="17" t="str">
        <f>IF(Entradas[[#This Row],[Proveedor (código)]]="","",VLOOKUP(Entradas[[#This Row],[Proveedor (código)]],Proveedores[[#All],[Código]:[Nombre fiscal]],2,FALSE))</f>
        <v>Metro B.A</v>
      </c>
      <c r="E325" s="29" t="s">
        <v>754</v>
      </c>
      <c r="F325" s="17" t="str">
        <f>IF(Entradas[[#This Row],[Artículo (código)]]="","",VLOOKUP(Entradas[[#This Row],[Artículo (código)]],Existencias!A:D,4,FALSE))</f>
        <v>Azucar rubia 2 kg</v>
      </c>
      <c r="G325" s="17">
        <v>3</v>
      </c>
      <c r="H325" s="57">
        <f>VLOOKUP(Entradas[[#This Row],[Artículo (código)]],Existencias!A:F,6,FALSE)*Entradas[[#This Row],[Cantidad]]</f>
        <v>17.91</v>
      </c>
      <c r="I325" s="58">
        <f>Entradas[[#This Row],[Precio POR UNIDAD]]*Entradas[[#This Row],[Cantidad]]</f>
        <v>53.730000000000004</v>
      </c>
    </row>
    <row r="326" spans="1:9" x14ac:dyDescent="0.3">
      <c r="A326" s="17"/>
      <c r="B326" s="18">
        <v>46097</v>
      </c>
      <c r="C326" s="17">
        <v>4</v>
      </c>
      <c r="D326" s="17" t="str">
        <f>IF(Entradas[[#This Row],[Proveedor (código)]]="","",VLOOKUP(Entradas[[#This Row],[Proveedor (código)]],Proveedores[[#All],[Código]:[Nombre fiscal]],2,FALSE))</f>
        <v>Metro B.A</v>
      </c>
      <c r="E326" s="29" t="s">
        <v>920</v>
      </c>
      <c r="F326" s="17" t="str">
        <f>IF(Entradas[[#This Row],[Artículo (código)]]="","",VLOOKUP(Entradas[[#This Row],[Artículo (código)]],Existencias!A:D,4,FALSE))</f>
        <v>Fideos cortos 500 gr</v>
      </c>
      <c r="G326" s="17">
        <v>1</v>
      </c>
      <c r="H326" s="57">
        <f>VLOOKUP(Entradas[[#This Row],[Artículo (código)]],Existencias!A:F,6,FALSE)*Entradas[[#This Row],[Cantidad]]</f>
        <v>0</v>
      </c>
      <c r="I326" s="58">
        <f>Entradas[[#This Row],[Precio POR UNIDAD]]*Entradas[[#This Row],[Cantidad]]</f>
        <v>0</v>
      </c>
    </row>
    <row r="327" spans="1:9" x14ac:dyDescent="0.3">
      <c r="A327" s="17"/>
      <c r="B327" s="18">
        <v>46097</v>
      </c>
      <c r="C327" s="17">
        <v>4</v>
      </c>
      <c r="D327" s="17" t="str">
        <f>IF(Entradas[[#This Row],[Proveedor (código)]]="","",VLOOKUP(Entradas[[#This Row],[Proveedor (código)]],Proveedores[[#All],[Código]:[Nombre fiscal]],2,FALSE))</f>
        <v>Metro B.A</v>
      </c>
      <c r="E327" s="29" t="s">
        <v>1192</v>
      </c>
      <c r="F327" s="17" t="str">
        <f>IF(Entradas[[#This Row],[Artículo (código)]]="","",VLOOKUP(Entradas[[#This Row],[Artículo (código)]],Existencias!A:D,4,FALSE))</f>
        <v>Garbanzo 500gr</v>
      </c>
      <c r="G327" s="17">
        <v>3</v>
      </c>
      <c r="H327" s="57">
        <f>VLOOKUP(Entradas[[#This Row],[Artículo (código)]],Existencias!A:F,6,FALSE)*Entradas[[#This Row],[Cantidad]]</f>
        <v>0</v>
      </c>
      <c r="I327" s="58">
        <f>Entradas[[#This Row],[Precio POR UNIDAD]]*Entradas[[#This Row],[Cantidad]]</f>
        <v>0</v>
      </c>
    </row>
    <row r="328" spans="1:9" x14ac:dyDescent="0.3">
      <c r="A328" s="17"/>
      <c r="B328" s="18">
        <v>46097</v>
      </c>
      <c r="C328" s="17">
        <v>4</v>
      </c>
      <c r="D328" s="17" t="str">
        <f>IF(Entradas[[#This Row],[Proveedor (código)]]="","",VLOOKUP(Entradas[[#This Row],[Proveedor (código)]],Proveedores[[#All],[Código]:[Nombre fiscal]],2,FALSE))</f>
        <v>Metro B.A</v>
      </c>
      <c r="E328" s="29" t="s">
        <v>1004</v>
      </c>
      <c r="F328" s="17" t="str">
        <f>IF(Entradas[[#This Row],[Artículo (código)]]="","",VLOOKUP(Entradas[[#This Row],[Artículo (código)]],Existencias!A:D,4,FALSE))</f>
        <v>Hierba Luisa 25 und</v>
      </c>
      <c r="G328" s="17">
        <v>1</v>
      </c>
      <c r="H328" s="57">
        <f>VLOOKUP(Entradas[[#This Row],[Artículo (código)]],Existencias!A:F,6,FALSE)*Entradas[[#This Row],[Cantidad]]</f>
        <v>2.35</v>
      </c>
      <c r="I328" s="58">
        <f>Entradas[[#This Row],[Precio POR UNIDAD]]*Entradas[[#This Row],[Cantidad]]</f>
        <v>2.35</v>
      </c>
    </row>
    <row r="329" spans="1:9" x14ac:dyDescent="0.3">
      <c r="A329" s="17"/>
      <c r="B329" s="18">
        <v>46097</v>
      </c>
      <c r="C329" s="17">
        <v>4</v>
      </c>
      <c r="D329" s="17" t="str">
        <f>IF(Entradas[[#This Row],[Proveedor (código)]]="","",VLOOKUP(Entradas[[#This Row],[Proveedor (código)]],Proveedores[[#All],[Código]:[Nombre fiscal]],2,FALSE))</f>
        <v>Metro B.A</v>
      </c>
      <c r="E329" s="29" t="s">
        <v>919</v>
      </c>
      <c r="F329" s="17" t="str">
        <f>IF(Entradas[[#This Row],[Artículo (código)]]="","",VLOOKUP(Entradas[[#This Row],[Artículo (código)]],Existencias!A:D,4,FALSE))</f>
        <v>Fideos cortos 250 gr</v>
      </c>
      <c r="G329" s="17">
        <v>1</v>
      </c>
      <c r="H329" s="57">
        <f>VLOOKUP(Entradas[[#This Row],[Artículo (código)]],Existencias!A:F,6,FALSE)*Entradas[[#This Row],[Cantidad]]</f>
        <v>2.58</v>
      </c>
      <c r="I329" s="58">
        <f>Entradas[[#This Row],[Precio POR UNIDAD]]*Entradas[[#This Row],[Cantidad]]</f>
        <v>2.58</v>
      </c>
    </row>
    <row r="330" spans="1:9" x14ac:dyDescent="0.3">
      <c r="A330" s="17"/>
      <c r="B330" s="18">
        <v>46097</v>
      </c>
      <c r="C330" s="17">
        <v>4</v>
      </c>
      <c r="D330" s="17" t="str">
        <f>IF(Entradas[[#This Row],[Proveedor (código)]]="","",VLOOKUP(Entradas[[#This Row],[Proveedor (código)]],Proveedores[[#All],[Código]:[Nombre fiscal]],2,FALSE))</f>
        <v>Metro B.A</v>
      </c>
      <c r="E330" s="29" t="s">
        <v>799</v>
      </c>
      <c r="F330" s="17" t="str">
        <f>IF(Entradas[[#This Row],[Artículo (código)]]="","",VLOOKUP(Entradas[[#This Row],[Artículo (código)]],Existencias!A:D,4,FALSE))</f>
        <v>Arroz 1 kg</v>
      </c>
      <c r="G330" s="17">
        <v>1</v>
      </c>
      <c r="H330" s="57">
        <f>VLOOKUP(Entradas[[#This Row],[Artículo (código)]],Existencias!A:F,6,FALSE)*Entradas[[#This Row],[Cantidad]]</f>
        <v>4.7300000000000004</v>
      </c>
      <c r="I330" s="58">
        <f>Entradas[[#This Row],[Precio POR UNIDAD]]*Entradas[[#This Row],[Cantidad]]</f>
        <v>4.7300000000000004</v>
      </c>
    </row>
    <row r="331" spans="1:9" x14ac:dyDescent="0.3">
      <c r="A331" s="17"/>
      <c r="B331" s="18">
        <v>46097</v>
      </c>
      <c r="C331" s="17">
        <v>4</v>
      </c>
      <c r="D331" s="17" t="str">
        <f>IF(Entradas[[#This Row],[Proveedor (código)]]="","",VLOOKUP(Entradas[[#This Row],[Proveedor (código)]],Proveedores[[#All],[Código]:[Nombre fiscal]],2,FALSE))</f>
        <v>Metro B.A</v>
      </c>
      <c r="E331" s="29" t="s">
        <v>1201</v>
      </c>
      <c r="F331" s="17" t="str">
        <f>IF(Entradas[[#This Row],[Artículo (código)]]="","",VLOOKUP(Entradas[[#This Row],[Artículo (código)]],Existencias!A:D,4,FALSE))</f>
        <v>Lenteja BB 500 gr</v>
      </c>
      <c r="G331" s="17">
        <v>1</v>
      </c>
      <c r="H331" s="57">
        <f>VLOOKUP(Entradas[[#This Row],[Artículo (código)]],Existencias!A:F,6,FALSE)*Entradas[[#This Row],[Cantidad]]</f>
        <v>5.05</v>
      </c>
      <c r="I331" s="58">
        <f>Entradas[[#This Row],[Precio POR UNIDAD]]*Entradas[[#This Row],[Cantidad]]</f>
        <v>5.05</v>
      </c>
    </row>
    <row r="332" spans="1:9" x14ac:dyDescent="0.3">
      <c r="A332" s="17"/>
      <c r="B332" s="18">
        <v>46097</v>
      </c>
      <c r="C332" s="17">
        <v>4</v>
      </c>
      <c r="D332" s="17" t="str">
        <f>IF(Entradas[[#This Row],[Proveedor (código)]]="","",VLOOKUP(Entradas[[#This Row],[Proveedor (código)]],Proveedores[[#All],[Código]:[Nombre fiscal]],2,FALSE))</f>
        <v>Metro B.A</v>
      </c>
      <c r="E332" s="29" t="s">
        <v>709</v>
      </c>
      <c r="F332" s="17" t="str">
        <f>IF(Entradas[[#This Row],[Artículo (código)]]="","",VLOOKUP(Entradas[[#This Row],[Artículo (código)]],Existencias!A:D,4,FALSE))</f>
        <v>Sal Mesa 1kg</v>
      </c>
      <c r="G332" s="17">
        <v>2</v>
      </c>
      <c r="H332" s="57">
        <f>VLOOKUP(Entradas[[#This Row],[Artículo (código)]],Existencias!A:F,6,FALSE)*Entradas[[#This Row],[Cantidad]]</f>
        <v>3.34</v>
      </c>
      <c r="I332" s="58">
        <f>Entradas[[#This Row],[Precio POR UNIDAD]]*Entradas[[#This Row],[Cantidad]]</f>
        <v>6.68</v>
      </c>
    </row>
    <row r="333" spans="1:9" x14ac:dyDescent="0.3">
      <c r="A333" s="17"/>
      <c r="B333" s="18">
        <v>46097</v>
      </c>
      <c r="C333" s="17">
        <v>4</v>
      </c>
      <c r="D333" s="17" t="str">
        <f>IF(Entradas[[#This Row],[Proveedor (código)]]="","",VLOOKUP(Entradas[[#This Row],[Proveedor (código)]],Proveedores[[#All],[Código]:[Nombre fiscal]],2,FALSE))</f>
        <v>Metro B.A</v>
      </c>
      <c r="E333" s="29" t="s">
        <v>1233</v>
      </c>
      <c r="F333" s="17" t="str">
        <f>IF(Entradas[[#This Row],[Artículo (código)]]="","",VLOOKUP(Entradas[[#This Row],[Artículo (código)]],Existencias!A:D,4,FALSE))</f>
        <v>Quinua Roja 500 gr</v>
      </c>
      <c r="G333" s="17">
        <v>1</v>
      </c>
      <c r="H333" s="57">
        <f>VLOOKUP(Entradas[[#This Row],[Artículo (código)]],Existencias!A:F,6,FALSE)*Entradas[[#This Row],[Cantidad]]</f>
        <v>0</v>
      </c>
      <c r="I333" s="58">
        <f>Entradas[[#This Row],[Precio POR UNIDAD]]*Entradas[[#This Row],[Cantidad]]</f>
        <v>0</v>
      </c>
    </row>
    <row r="334" spans="1:9" x14ac:dyDescent="0.3">
      <c r="A334" s="17"/>
      <c r="B334" s="18">
        <v>46097</v>
      </c>
      <c r="C334" s="17">
        <v>4</v>
      </c>
      <c r="D334" s="17" t="str">
        <f>IF(Entradas[[#This Row],[Proveedor (código)]]="","",VLOOKUP(Entradas[[#This Row],[Proveedor (código)]],Proveedores[[#All],[Código]:[Nombre fiscal]],2,FALSE))</f>
        <v>Metro B.A</v>
      </c>
      <c r="E334" s="29" t="s">
        <v>887</v>
      </c>
      <c r="F334" s="17" t="str">
        <f>IF(Entradas[[#This Row],[Artículo (código)]]="","",VLOOKUP(Entradas[[#This Row],[Artículo (código)]],Existencias!A:D,4,FALSE))</f>
        <v>Trozo de atun aceite lata</v>
      </c>
      <c r="G334" s="17">
        <v>4</v>
      </c>
      <c r="H334" s="57">
        <f>VLOOKUP(Entradas[[#This Row],[Artículo (código)]],Existencias!A:F,6,FALSE)</f>
        <v>0</v>
      </c>
      <c r="I334" s="58">
        <f>Entradas[[#This Row],[Precio POR UNIDAD]]*Entradas[[#This Row],[Cantidad]]</f>
        <v>0</v>
      </c>
    </row>
    <row r="335" spans="1:9" x14ac:dyDescent="0.3">
      <c r="A335" s="17"/>
      <c r="B335" s="18">
        <v>46097</v>
      </c>
      <c r="C335" s="17">
        <v>2</v>
      </c>
      <c r="D335" s="17" t="str">
        <f>IF(Entradas[[#This Row],[Proveedor (código)]]="","",VLOOKUP(Entradas[[#This Row],[Proveedor (código)]],Proveedores[[#All],[Código]:[Nombre fiscal]],2,FALSE))</f>
        <v>PLAZA VEA B.A</v>
      </c>
      <c r="E335" s="29" t="s">
        <v>777</v>
      </c>
      <c r="F335" s="17" t="str">
        <f>IF(Entradas[[#This Row],[Artículo (código)]]="","",VLOOKUP(Entradas[[#This Row],[Artículo (código)]],Existencias!A:D,4,FALSE))</f>
        <v>bondiola</v>
      </c>
      <c r="G335" s="17">
        <v>0.9</v>
      </c>
      <c r="H335" s="57">
        <f>VLOOKUP(Entradas[[#This Row],[Artículo (código)]],Existencias!A:F,6,FALSE)</f>
        <v>0</v>
      </c>
      <c r="I335" s="58">
        <f>Entradas[[#This Row],[Precio POR UNIDAD]]*Entradas[[#This Row],[Cantidad]]</f>
        <v>0</v>
      </c>
    </row>
    <row r="336" spans="1:9" x14ac:dyDescent="0.3">
      <c r="A336" s="17"/>
      <c r="B336" s="18">
        <v>46097</v>
      </c>
      <c r="C336" s="17">
        <v>2</v>
      </c>
      <c r="D336" s="17" t="str">
        <f>IF(Entradas[[#This Row],[Proveedor (código)]]="","",VLOOKUP(Entradas[[#This Row],[Proveedor (código)]],Proveedores[[#All],[Código]:[Nombre fiscal]],2,FALSE))</f>
        <v>PLAZA VEA B.A</v>
      </c>
      <c r="E336" s="29" t="s">
        <v>732</v>
      </c>
      <c r="F336" s="17" t="str">
        <f>IF(Entradas[[#This Row],[Artículo (código)]]="","",VLOOKUP(Entradas[[#This Row],[Artículo (código)]],Existencias!A:D,4,FALSE))</f>
        <v>Alas natural</v>
      </c>
      <c r="G336" s="17">
        <v>0.95</v>
      </c>
      <c r="H336" s="57">
        <f>VLOOKUP(Entradas[[#This Row],[Artículo (código)]],Existencias!A:F,6,FALSE)</f>
        <v>0</v>
      </c>
      <c r="I336" s="58">
        <f>Entradas[[#This Row],[Precio POR UNIDAD]]*Entradas[[#This Row],[Cantidad]]</f>
        <v>0</v>
      </c>
    </row>
    <row r="337" spans="1:9" x14ac:dyDescent="0.3">
      <c r="A337" s="17"/>
      <c r="B337" s="18">
        <v>46097</v>
      </c>
      <c r="C337" s="17">
        <v>2</v>
      </c>
      <c r="D337" s="17" t="str">
        <f>IF(Entradas[[#This Row],[Proveedor (código)]]="","",VLOOKUP(Entradas[[#This Row],[Proveedor (código)]],Proveedores[[#All],[Código]:[Nombre fiscal]],2,FALSE))</f>
        <v>PLAZA VEA B.A</v>
      </c>
      <c r="E337" s="29" t="s">
        <v>730</v>
      </c>
      <c r="F337" s="17" t="str">
        <f>IF(Entradas[[#This Row],[Artículo (código)]]="","",VLOOKUP(Entradas[[#This Row],[Artículo (código)]],Existencias!A:D,4,FALSE))</f>
        <v>Higado de pollo</v>
      </c>
      <c r="G337" s="17">
        <v>1.56</v>
      </c>
      <c r="H337" s="57">
        <f>VLOOKUP(Entradas[[#This Row],[Artículo (código)]],Existencias!A:F,6,FALSE)</f>
        <v>0</v>
      </c>
      <c r="I337" s="58">
        <f>Entradas[[#This Row],[Precio POR UNIDAD]]*Entradas[[#This Row],[Cantidad]]</f>
        <v>0</v>
      </c>
    </row>
    <row r="338" spans="1:9" x14ac:dyDescent="0.3">
      <c r="A338" s="17"/>
      <c r="B338" s="18">
        <v>46097</v>
      </c>
      <c r="C338" s="17">
        <v>2</v>
      </c>
      <c r="D338" s="17" t="str">
        <f>IF(Entradas[[#This Row],[Proveedor (código)]]="","",VLOOKUP(Entradas[[#This Row],[Proveedor (código)]],Proveedores[[#All],[Código]:[Nombre fiscal]],2,FALSE))</f>
        <v>PLAZA VEA B.A</v>
      </c>
      <c r="E338" s="29" t="s">
        <v>727</v>
      </c>
      <c r="F338" s="17" t="str">
        <f>IF(Entradas[[#This Row],[Artículo (código)]]="","",VLOOKUP(Entradas[[#This Row],[Artículo (código)]],Existencias!A:D,4,FALSE))</f>
        <v>Pollo piernas  c/ encuentro bandeja</v>
      </c>
      <c r="G338" s="17">
        <v>2.23</v>
      </c>
      <c r="H338" s="57">
        <f>VLOOKUP(Entradas[[#This Row],[Artículo (código)]],Existencias!A:F,6,FALSE)</f>
        <v>0</v>
      </c>
      <c r="I338" s="58">
        <f>Entradas[[#This Row],[Precio POR UNIDAD]]*Entradas[[#This Row],[Cantidad]]</f>
        <v>0</v>
      </c>
    </row>
    <row r="339" spans="1:9" x14ac:dyDescent="0.3">
      <c r="A339" s="17"/>
      <c r="B339" s="18">
        <v>46097</v>
      </c>
      <c r="C339" s="17">
        <v>2</v>
      </c>
      <c r="D339" s="17" t="str">
        <f>IF(Entradas[[#This Row],[Proveedor (código)]]="","",VLOOKUP(Entradas[[#This Row],[Proveedor (código)]],Proveedores[[#All],[Código]:[Nombre fiscal]],2,FALSE))</f>
        <v>PLAZA VEA B.A</v>
      </c>
      <c r="E339" s="29" t="s">
        <v>746</v>
      </c>
      <c r="F339" s="17" t="str">
        <f>IF(Entradas[[#This Row],[Artículo (código)]]="","",VLOOKUP(Entradas[[#This Row],[Artículo (código)]],Existencias!A:D,4,FALSE))</f>
        <v>Piernas de pollo kg</v>
      </c>
      <c r="G339" s="17">
        <v>2.06</v>
      </c>
      <c r="H339" s="57">
        <f>VLOOKUP(Entradas[[#This Row],[Artículo (código)]],Existencias!A:F,6,FALSE)</f>
        <v>12.12</v>
      </c>
      <c r="I339" s="58">
        <f>Entradas[[#This Row],[Precio POR UNIDAD]]*Entradas[[#This Row],[Cantidad]]</f>
        <v>24.967199999999998</v>
      </c>
    </row>
    <row r="340" spans="1:9" x14ac:dyDescent="0.3">
      <c r="A340" s="17"/>
      <c r="B340" s="18">
        <v>46097</v>
      </c>
      <c r="C340" s="17">
        <v>2</v>
      </c>
      <c r="D340" s="17" t="str">
        <f>IF(Entradas[[#This Row],[Proveedor (código)]]="","",VLOOKUP(Entradas[[#This Row],[Proveedor (código)]],Proveedores[[#All],[Código]:[Nombre fiscal]],2,FALSE))</f>
        <v>PLAZA VEA B.A</v>
      </c>
      <c r="E340" s="29" t="s">
        <v>784</v>
      </c>
      <c r="F340" s="17" t="str">
        <f>IF(Entradas[[#This Row],[Artículo (código)]]="","",VLOOKUP(Entradas[[#This Row],[Artículo (código)]],Existencias!A:D,4,FALSE))</f>
        <v>Medallon de lomo</v>
      </c>
      <c r="G340" s="17">
        <v>1</v>
      </c>
      <c r="H340" s="57">
        <f>VLOOKUP(Entradas[[#This Row],[Artículo (código)]],Existencias!A:F,6,FALSE)</f>
        <v>0</v>
      </c>
      <c r="I340" s="58">
        <f>Entradas[[#This Row],[Precio POR UNIDAD]]*Entradas[[#This Row],[Cantidad]]</f>
        <v>0</v>
      </c>
    </row>
    <row r="341" spans="1:9" x14ac:dyDescent="0.3">
      <c r="A341" s="17"/>
      <c r="B341" s="18">
        <v>46097</v>
      </c>
      <c r="C341" s="17">
        <v>2</v>
      </c>
      <c r="D341" s="17" t="str">
        <f>IF(Entradas[[#This Row],[Proveedor (código)]]="","",VLOOKUP(Entradas[[#This Row],[Proveedor (código)]],Proveedores[[#All],[Código]:[Nombre fiscal]],2,FALSE))</f>
        <v>PLAZA VEA B.A</v>
      </c>
      <c r="E341" s="29" t="s">
        <v>799</v>
      </c>
      <c r="F341" s="17" t="str">
        <f>IF(Entradas[[#This Row],[Artículo (código)]]="","",VLOOKUP(Entradas[[#This Row],[Artículo (código)]],Existencias!A:D,4,FALSE))</f>
        <v>Arroz 1 kg</v>
      </c>
      <c r="G341" s="17">
        <v>3</v>
      </c>
      <c r="H341" s="57">
        <f>VLOOKUP(Entradas[[#This Row],[Artículo (código)]],Existencias!A:F,6,FALSE)</f>
        <v>4.7300000000000004</v>
      </c>
      <c r="I341" s="58">
        <f>Entradas[[#This Row],[Precio POR UNIDAD]]*Entradas[[#This Row],[Cantidad]]</f>
        <v>14.190000000000001</v>
      </c>
    </row>
    <row r="342" spans="1:9" x14ac:dyDescent="0.3">
      <c r="A342" s="17"/>
      <c r="B342" s="18">
        <v>46097</v>
      </c>
      <c r="C342" s="17">
        <v>2</v>
      </c>
      <c r="D342" s="17" t="str">
        <f>IF(Entradas[[#This Row],[Proveedor (código)]]="","",VLOOKUP(Entradas[[#This Row],[Proveedor (código)]],Proveedores[[#All],[Código]:[Nombre fiscal]],2,FALSE))</f>
        <v>PLAZA VEA B.A</v>
      </c>
      <c r="E342" s="29" t="s">
        <v>894</v>
      </c>
      <c r="F342" s="17" t="str">
        <f>IF(Entradas[[#This Row],[Artículo (código)]]="","",VLOOKUP(Entradas[[#This Row],[Artículo (código)]],Existencias!A:D,4,FALSE))</f>
        <v>Piña en almibar 500 gr lata</v>
      </c>
      <c r="G342" s="17">
        <v>10</v>
      </c>
      <c r="H342" s="57">
        <f>VLOOKUP(Entradas[[#This Row],[Artículo (código)]],Existencias!A:F,6,FALSE)</f>
        <v>0</v>
      </c>
      <c r="I342" s="58">
        <f>Entradas[[#This Row],[Precio POR UNIDAD]]*Entradas[[#This Row],[Cantidad]]</f>
        <v>0</v>
      </c>
    </row>
    <row r="343" spans="1:9" x14ac:dyDescent="0.3">
      <c r="A343" s="17"/>
      <c r="B343" s="18">
        <v>46097</v>
      </c>
      <c r="C343" s="17">
        <v>2</v>
      </c>
      <c r="D343" s="17" t="str">
        <f>IF(Entradas[[#This Row],[Proveedor (código)]]="","",VLOOKUP(Entradas[[#This Row],[Proveedor (código)]],Proveedores[[#All],[Código]:[Nombre fiscal]],2,FALSE))</f>
        <v>PLAZA VEA B.A</v>
      </c>
      <c r="E343" s="29" t="s">
        <v>1037</v>
      </c>
      <c r="F343" s="17" t="str">
        <f>IF(Entradas[[#This Row],[Artículo (código)]]="","",VLOOKUP(Entradas[[#This Row],[Artículo (código)]],Existencias!A:D,4,FALSE))</f>
        <v>Chocolisto  marshmallow 150</v>
      </c>
      <c r="G343" s="17">
        <v>68</v>
      </c>
      <c r="H343" s="57">
        <f>VLOOKUP(Entradas[[#This Row],[Artículo (código)]],Existencias!A:F,6,FALSE)</f>
        <v>0</v>
      </c>
      <c r="I343" s="58">
        <f>Entradas[[#This Row],[Precio POR UNIDAD]]*Entradas[[#This Row],[Cantidad]]</f>
        <v>0</v>
      </c>
    </row>
    <row r="344" spans="1:9" x14ac:dyDescent="0.3">
      <c r="A344" s="17"/>
      <c r="B344" s="18">
        <v>46097</v>
      </c>
      <c r="C344" s="17">
        <v>2</v>
      </c>
      <c r="D344" s="17" t="str">
        <f>IF(Entradas[[#This Row],[Proveedor (código)]]="","",VLOOKUP(Entradas[[#This Row],[Proveedor (código)]],Proveedores[[#All],[Código]:[Nombre fiscal]],2,FALSE))</f>
        <v>PLAZA VEA B.A</v>
      </c>
      <c r="E344" s="29" t="s">
        <v>1212</v>
      </c>
      <c r="F344" s="17" t="str">
        <f>IF(Entradas[[#This Row],[Artículo (código)]]="","",VLOOKUP(Entradas[[#This Row],[Artículo (código)]],Existencias!A:D,4,FALSE))</f>
        <v>Pallar 500 gr</v>
      </c>
      <c r="G344" s="17">
        <v>3</v>
      </c>
      <c r="H344" s="57">
        <f>VLOOKUP(Entradas[[#This Row],[Artículo (código)]],Existencias!A:F,6,FALSE)</f>
        <v>0</v>
      </c>
      <c r="I344" s="58">
        <f>Entradas[[#This Row],[Precio POR UNIDAD]]*Entradas[[#This Row],[Cantidad]]</f>
        <v>0</v>
      </c>
    </row>
    <row r="345" spans="1:9" x14ac:dyDescent="0.3">
      <c r="A345" s="17"/>
      <c r="B345" s="18">
        <v>46097</v>
      </c>
      <c r="C345" s="17">
        <v>2</v>
      </c>
      <c r="D345" s="17" t="str">
        <f>IF(Entradas[[#This Row],[Proveedor (código)]]="","",VLOOKUP(Entradas[[#This Row],[Proveedor (código)]],Proveedores[[#All],[Código]:[Nombre fiscal]],2,FALSE))</f>
        <v>PLAZA VEA B.A</v>
      </c>
      <c r="E345" s="29" t="s">
        <v>1226</v>
      </c>
      <c r="F345" s="17" t="str">
        <f>IF(Entradas[[#This Row],[Artículo (código)]]="","",VLOOKUP(Entradas[[#This Row],[Artículo (código)]],Existencias!A:D,4,FALSE))</f>
        <v>Quinua 500 gr</v>
      </c>
      <c r="G345" s="17">
        <v>1</v>
      </c>
      <c r="H345" s="57">
        <f>VLOOKUP(Entradas[[#This Row],[Artículo (código)]],Existencias!A:F,6,FALSE)</f>
        <v>8.2100000000000009</v>
      </c>
      <c r="I345" s="58">
        <f>Entradas[[#This Row],[Precio POR UNIDAD]]*Entradas[[#This Row],[Cantidad]]</f>
        <v>8.2100000000000009</v>
      </c>
    </row>
    <row r="346" spans="1:9" x14ac:dyDescent="0.3">
      <c r="A346" s="17"/>
      <c r="B346" s="18">
        <v>46097</v>
      </c>
      <c r="C346" s="17">
        <v>2</v>
      </c>
      <c r="D346" s="17" t="str">
        <f>IF(Entradas[[#This Row],[Proveedor (código)]]="","",VLOOKUP(Entradas[[#This Row],[Proveedor (código)]],Proveedores[[#All],[Código]:[Nombre fiscal]],2,FALSE))</f>
        <v>PLAZA VEA B.A</v>
      </c>
      <c r="E346" s="29" t="s">
        <v>800</v>
      </c>
      <c r="F346" s="17" t="str">
        <f>IF(Entradas[[#This Row],[Artículo (código)]]="","",VLOOKUP(Entradas[[#This Row],[Artículo (código)]],Existencias!A:D,4,FALSE))</f>
        <v xml:space="preserve">Arroz 5 kg </v>
      </c>
      <c r="G346" s="17">
        <v>1</v>
      </c>
      <c r="H346" s="57">
        <f>VLOOKUP(Entradas[[#This Row],[Artículo (código)]],Existencias!A:F,6,FALSE)</f>
        <v>24.95</v>
      </c>
      <c r="I346" s="58">
        <f>Entradas[[#This Row],[Precio POR UNIDAD]]*Entradas[[#This Row],[Cantidad]]</f>
        <v>24.95</v>
      </c>
    </row>
    <row r="347" spans="1:9" x14ac:dyDescent="0.3">
      <c r="A347" s="17"/>
      <c r="B347" s="18">
        <v>46097</v>
      </c>
      <c r="C347" s="17">
        <v>2</v>
      </c>
      <c r="D347" s="17" t="str">
        <f>IF(Entradas[[#This Row],[Proveedor (código)]]="","",VLOOKUP(Entradas[[#This Row],[Proveedor (código)]],Proveedores[[#All],[Código]:[Nombre fiscal]],2,FALSE))</f>
        <v>PLAZA VEA B.A</v>
      </c>
      <c r="E347" s="29" t="s">
        <v>919</v>
      </c>
      <c r="F347" s="17" t="str">
        <f>IF(Entradas[[#This Row],[Artículo (código)]]="","",VLOOKUP(Entradas[[#This Row],[Artículo (código)]],Existencias!A:D,4,FALSE))</f>
        <v>Fideos cortos 250 gr</v>
      </c>
      <c r="G347" s="17">
        <v>1</v>
      </c>
      <c r="H347" s="57">
        <f>VLOOKUP(Entradas[[#This Row],[Artículo (código)]],Existencias!A:F,6,FALSE)</f>
        <v>2.58</v>
      </c>
      <c r="I347" s="58">
        <f>Entradas[[#This Row],[Precio POR UNIDAD]]*Entradas[[#This Row],[Cantidad]]</f>
        <v>2.58</v>
      </c>
    </row>
    <row r="348" spans="1:9" x14ac:dyDescent="0.3">
      <c r="A348" s="17"/>
      <c r="B348" s="18">
        <v>46097</v>
      </c>
      <c r="C348" s="17">
        <v>2</v>
      </c>
      <c r="D348" s="17" t="str">
        <f>IF(Entradas[[#This Row],[Proveedor (código)]]="","",VLOOKUP(Entradas[[#This Row],[Proveedor (código)]],Proveedores[[#All],[Código]:[Nombre fiscal]],2,FALSE))</f>
        <v>PLAZA VEA B.A</v>
      </c>
      <c r="E348" s="29" t="s">
        <v>920</v>
      </c>
      <c r="F348" s="17" t="str">
        <f>IF(Entradas[[#This Row],[Artículo (código)]]="","",VLOOKUP(Entradas[[#This Row],[Artículo (código)]],Existencias!A:D,4,FALSE))</f>
        <v>Fideos cortos 500 gr</v>
      </c>
      <c r="G348" s="17">
        <v>1</v>
      </c>
      <c r="H348" s="57">
        <f>VLOOKUP(Entradas[[#This Row],[Artículo (código)]],Existencias!A:F,6,FALSE)</f>
        <v>0</v>
      </c>
      <c r="I348" s="58">
        <f>Entradas[[#This Row],[Precio POR UNIDAD]]*Entradas[[#This Row],[Cantidad]]</f>
        <v>0</v>
      </c>
    </row>
    <row r="349" spans="1:9" x14ac:dyDescent="0.3">
      <c r="A349" s="17"/>
      <c r="B349" s="18">
        <v>46097</v>
      </c>
      <c r="C349" s="17">
        <v>2</v>
      </c>
      <c r="D349" s="17" t="str">
        <f>IF(Entradas[[#This Row],[Proveedor (código)]]="","",VLOOKUP(Entradas[[#This Row],[Proveedor (código)]],Proveedores[[#All],[Código]:[Nombre fiscal]],2,FALSE))</f>
        <v>PLAZA VEA B.A</v>
      </c>
      <c r="E349" s="29" t="s">
        <v>815</v>
      </c>
      <c r="F349" s="17" t="str">
        <f>IF(Entradas[[#This Row],[Artículo (código)]]="","",VLOOKUP(Entradas[[#This Row],[Artículo (código)]],Existencias!A:D,4,FALSE))</f>
        <v>Hojuela  275 gr</v>
      </c>
      <c r="G349" s="17">
        <v>20</v>
      </c>
      <c r="H349" s="57">
        <f>VLOOKUP(Entradas[[#This Row],[Artículo (código)]],Existencias!A:F,6,FALSE)</f>
        <v>0</v>
      </c>
      <c r="I349" s="58">
        <f>Entradas[[#This Row],[Precio POR UNIDAD]]*Entradas[[#This Row],[Cantidad]]</f>
        <v>0</v>
      </c>
    </row>
    <row r="350" spans="1:9" x14ac:dyDescent="0.3">
      <c r="A350" s="17"/>
      <c r="B350" s="18">
        <v>46097</v>
      </c>
      <c r="C350" s="17">
        <v>2</v>
      </c>
      <c r="D350" s="17" t="str">
        <f>IF(Entradas[[#This Row],[Proveedor (código)]]="","",VLOOKUP(Entradas[[#This Row],[Proveedor (código)]],Proveedores[[#All],[Código]:[Nombre fiscal]],2,FALSE))</f>
        <v>PLAZA VEA B.A</v>
      </c>
      <c r="E350" s="29" t="s">
        <v>703</v>
      </c>
      <c r="F350" s="17" t="str">
        <f>IF(Entradas[[#This Row],[Artículo (código)]]="","",VLOOKUP(Entradas[[#This Row],[Artículo (código)]],Existencias!A:D,4,FALSE))</f>
        <v>Leche Evaporada  390 gr lata</v>
      </c>
      <c r="G350" s="17">
        <v>6</v>
      </c>
      <c r="H350" s="57">
        <f>VLOOKUP(Entradas[[#This Row],[Artículo (código)]],Existencias!A:F,6,FALSE)</f>
        <v>0</v>
      </c>
      <c r="I350" s="58">
        <f>Entradas[[#This Row],[Precio POR UNIDAD]]*Entradas[[#This Row],[Cantidad]]</f>
        <v>0</v>
      </c>
    </row>
    <row r="351" spans="1:9" x14ac:dyDescent="0.3">
      <c r="A351" s="17"/>
      <c r="B351" s="18">
        <v>46097</v>
      </c>
      <c r="C351" s="17">
        <v>2</v>
      </c>
      <c r="D351" s="17" t="str">
        <f>IF(Entradas[[#This Row],[Proveedor (código)]]="","",VLOOKUP(Entradas[[#This Row],[Proveedor (código)]],Proveedores[[#All],[Código]:[Nombre fiscal]],2,FALSE))</f>
        <v>PLAZA VEA B.A</v>
      </c>
      <c r="E351" s="29"/>
      <c r="F351" s="17" t="str">
        <f>IF(Entradas[[#This Row],[Artículo (código)]]="","",VLOOKUP(Entradas[[#This Row],[Artículo (código)]],Existencias!A:D,4,FALSE))</f>
        <v/>
      </c>
      <c r="H351" s="57" t="e">
        <f>VLOOKUP(Entradas[[#This Row],[Artículo (código)]],Existencias!A:F,6,FALSE)</f>
        <v>#N/A</v>
      </c>
      <c r="I351" s="58" t="e">
        <f>Entradas[[#This Row],[Precio POR UNIDAD]]*Entradas[[#This Row],[Cantidad]]</f>
        <v>#N/A</v>
      </c>
    </row>
    <row r="352" spans="1:9" x14ac:dyDescent="0.3">
      <c r="A352" s="17"/>
      <c r="B352" s="18">
        <v>46097</v>
      </c>
      <c r="C352" s="17">
        <v>2</v>
      </c>
      <c r="D352" s="17" t="str">
        <f>IF(Entradas[[#This Row],[Proveedor (código)]]="","",VLOOKUP(Entradas[[#This Row],[Proveedor (código)]],Proveedores[[#All],[Código]:[Nombre fiscal]],2,FALSE))</f>
        <v>PLAZA VEA B.A</v>
      </c>
      <c r="E352" s="29"/>
      <c r="F352" s="17" t="str">
        <f>IF(Entradas[[#This Row],[Artículo (código)]]="","",VLOOKUP(Entradas[[#This Row],[Artículo (código)]],Existencias!A:D,4,FALSE))</f>
        <v/>
      </c>
      <c r="H352" s="57" t="e">
        <f>VLOOKUP(Entradas[[#This Row],[Artículo (código)]],Existencias!A:F,6,FALSE)</f>
        <v>#N/A</v>
      </c>
      <c r="I352" s="58" t="e">
        <f>Entradas[[#This Row],[Precio POR UNIDAD]]*Entradas[[#This Row],[Cantidad]]</f>
        <v>#N/A</v>
      </c>
    </row>
    <row r="353" spans="1:9" x14ac:dyDescent="0.3">
      <c r="A353" s="17"/>
      <c r="B353" s="18"/>
      <c r="C353" s="17"/>
      <c r="D353" s="17" t="str">
        <f>IF(Entradas[[#This Row],[Proveedor (código)]]="","",VLOOKUP(Entradas[[#This Row],[Proveedor (código)]],Proveedores[[#All],[Código]:[Nombre fiscal]],2,FALSE))</f>
        <v/>
      </c>
      <c r="E353" s="29"/>
      <c r="F353" s="17" t="str">
        <f>IF(Entradas[[#This Row],[Artículo (código)]]="","",VLOOKUP(Entradas[[#This Row],[Artículo (código)]],Existencias!A:D,4,FALSE))</f>
        <v/>
      </c>
      <c r="H353" s="57" t="e">
        <f>VLOOKUP(Entradas[[#This Row],[Artículo (código)]],Existencias!A:F,6,FALSE)</f>
        <v>#N/A</v>
      </c>
      <c r="I353" s="58" t="e">
        <f>Entradas[[#This Row],[Precio POR UNIDAD]]*Entradas[[#This Row],[Cantidad]]</f>
        <v>#N/A</v>
      </c>
    </row>
    <row r="354" spans="1:9" x14ac:dyDescent="0.3">
      <c r="A354" s="17"/>
      <c r="B354" s="18"/>
      <c r="C354" s="17"/>
      <c r="D354" s="17" t="str">
        <f>IF(Entradas[[#This Row],[Proveedor (código)]]="","",VLOOKUP(Entradas[[#This Row],[Proveedor (código)]],Proveedores[[#All],[Código]:[Nombre fiscal]],2,FALSE))</f>
        <v/>
      </c>
      <c r="E354" s="29"/>
      <c r="F354" s="17" t="str">
        <f>IF(Entradas[[#This Row],[Artículo (código)]]="","",VLOOKUP(Entradas[[#This Row],[Artículo (código)]],Existencias!A:D,4,FALSE))</f>
        <v/>
      </c>
      <c r="H354" s="57" t="e">
        <f>VLOOKUP(Entradas[[#This Row],[Artículo (código)]],Existencias!A:F,6,FALSE)</f>
        <v>#N/A</v>
      </c>
      <c r="I354" s="58" t="e">
        <f>Entradas[[#This Row],[Precio POR UNIDAD]]*Entradas[[#This Row],[Cantidad]]</f>
        <v>#N/A</v>
      </c>
    </row>
    <row r="355" spans="1:9" x14ac:dyDescent="0.3">
      <c r="A355" s="17"/>
      <c r="B355" s="18"/>
      <c r="C355" s="17"/>
      <c r="D355" s="17" t="str">
        <f>IF(Entradas[[#This Row],[Proveedor (código)]]="","",VLOOKUP(Entradas[[#This Row],[Proveedor (código)]],Proveedores[[#All],[Código]:[Nombre fiscal]],2,FALSE))</f>
        <v/>
      </c>
      <c r="E355" s="29"/>
      <c r="F355" s="17" t="str">
        <f>IF(Entradas[[#This Row],[Artículo (código)]]="","",VLOOKUP(Entradas[[#This Row],[Artículo (código)]],Existencias!A:D,4,FALSE))</f>
        <v/>
      </c>
      <c r="H355" s="57" t="e">
        <f>VLOOKUP(Entradas[[#This Row],[Artículo (código)]],Existencias!A:F,6,FALSE)</f>
        <v>#N/A</v>
      </c>
      <c r="I355" s="58" t="e">
        <f>Entradas[[#This Row],[Precio POR UNIDAD]]*Entradas[[#This Row],[Cantidad]]</f>
        <v>#N/A</v>
      </c>
    </row>
    <row r="356" spans="1:9" x14ac:dyDescent="0.3">
      <c r="A356" s="17"/>
      <c r="B356" s="18"/>
      <c r="C356" s="17"/>
      <c r="D356" s="17" t="str">
        <f>IF(Entradas[[#This Row],[Proveedor (código)]]="","",VLOOKUP(Entradas[[#This Row],[Proveedor (código)]],Proveedores[[#All],[Código]:[Nombre fiscal]],2,FALSE))</f>
        <v/>
      </c>
      <c r="E356" s="29"/>
      <c r="F356" s="17" t="str">
        <f>IF(Entradas[[#This Row],[Artículo (código)]]="","",VLOOKUP(Entradas[[#This Row],[Artículo (código)]],Existencias!A:D,4,FALSE))</f>
        <v/>
      </c>
      <c r="H356" s="57" t="e">
        <f>VLOOKUP(Entradas[[#This Row],[Artículo (código)]],Existencias!A:F,6,FALSE)</f>
        <v>#N/A</v>
      </c>
      <c r="I356" s="58" t="e">
        <f>Entradas[[#This Row],[Precio POR UNIDAD]]*Entradas[[#This Row],[Cantidad]]</f>
        <v>#N/A</v>
      </c>
    </row>
    <row r="357" spans="1:9" x14ac:dyDescent="0.3">
      <c r="A357" s="17"/>
      <c r="B357" s="18"/>
      <c r="C357" s="17"/>
      <c r="D357" s="17" t="str">
        <f>IF(Entradas[[#This Row],[Proveedor (código)]]="","",VLOOKUP(Entradas[[#This Row],[Proveedor (código)]],Proveedores[[#All],[Código]:[Nombre fiscal]],2,FALSE))</f>
        <v/>
      </c>
      <c r="E357" s="29"/>
      <c r="F357" s="17" t="str">
        <f>IF(Entradas[[#This Row],[Artículo (código)]]="","",VLOOKUP(Entradas[[#This Row],[Artículo (código)]],Existencias!A:D,4,FALSE))</f>
        <v/>
      </c>
      <c r="H357" s="57" t="e">
        <f>VLOOKUP(Entradas[[#This Row],[Artículo (código)]],Existencias!A:F,6,FALSE)</f>
        <v>#N/A</v>
      </c>
      <c r="I357" s="58" t="e">
        <f>Entradas[[#This Row],[Precio POR UNIDAD]]*Entradas[[#This Row],[Cantidad]]</f>
        <v>#N/A</v>
      </c>
    </row>
    <row r="358" spans="1:9" x14ac:dyDescent="0.3">
      <c r="A358" s="17"/>
      <c r="B358" s="18"/>
      <c r="C358" s="17"/>
      <c r="D358" s="17" t="str">
        <f>IF(Entradas[[#This Row],[Proveedor (código)]]="","",VLOOKUP(Entradas[[#This Row],[Proveedor (código)]],Proveedores[[#All],[Código]:[Nombre fiscal]],2,FALSE))</f>
        <v/>
      </c>
      <c r="E358" s="29"/>
      <c r="F358" s="17" t="str">
        <f>IF(Entradas[[#This Row],[Artículo (código)]]="","",VLOOKUP(Entradas[[#This Row],[Artículo (código)]],Existencias!A:D,4,FALSE))</f>
        <v/>
      </c>
      <c r="H358" s="57" t="e">
        <f>VLOOKUP(Entradas[[#This Row],[Artículo (código)]],Existencias!A:F,6,FALSE)</f>
        <v>#N/A</v>
      </c>
      <c r="I358" s="58" t="e">
        <f>Entradas[[#This Row],[Precio POR UNIDAD]]*Entradas[[#This Row],[Cantidad]]</f>
        <v>#N/A</v>
      </c>
    </row>
    <row r="359" spans="1:9" x14ac:dyDescent="0.3">
      <c r="A359" s="17"/>
      <c r="B359" s="18"/>
      <c r="C359" s="17"/>
      <c r="D359" s="17" t="str">
        <f>IF(Entradas[[#This Row],[Proveedor (código)]]="","",VLOOKUP(Entradas[[#This Row],[Proveedor (código)]],Proveedores[[#All],[Código]:[Nombre fiscal]],2,FALSE))</f>
        <v/>
      </c>
      <c r="E359" s="29"/>
      <c r="F359" s="17" t="str">
        <f>IF(Entradas[[#This Row],[Artículo (código)]]="","",VLOOKUP(Entradas[[#This Row],[Artículo (código)]],Existencias!A:D,4,FALSE))</f>
        <v/>
      </c>
      <c r="H359" s="57" t="e">
        <f>VLOOKUP(Entradas[[#This Row],[Artículo (código)]],Existencias!A:F,6,FALSE)</f>
        <v>#N/A</v>
      </c>
      <c r="I359" s="58" t="e">
        <f>Entradas[[#This Row],[Precio POR UNIDAD]]*Entradas[[#This Row],[Cantidad]]</f>
        <v>#N/A</v>
      </c>
    </row>
    <row r="360" spans="1:9" x14ac:dyDescent="0.3">
      <c r="A360" s="17"/>
      <c r="B360" s="18"/>
      <c r="C360" s="17"/>
      <c r="D360" s="17" t="str">
        <f>IF(Entradas[[#This Row],[Proveedor (código)]]="","",VLOOKUP(Entradas[[#This Row],[Proveedor (código)]],Proveedores[[#All],[Código]:[Nombre fiscal]],2,FALSE))</f>
        <v/>
      </c>
      <c r="E360" s="29"/>
      <c r="F360" s="17" t="str">
        <f>IF(Entradas[[#This Row],[Artículo (código)]]="","",VLOOKUP(Entradas[[#This Row],[Artículo (código)]],Existencias!A:D,4,FALSE))</f>
        <v/>
      </c>
      <c r="H360" s="57" t="e">
        <f>VLOOKUP(Entradas[[#This Row],[Artículo (código)]],Existencias!A:F,6,FALSE)</f>
        <v>#N/A</v>
      </c>
      <c r="I360" s="58" t="e">
        <f>Entradas[[#This Row],[Precio POR UNIDAD]]*Entradas[[#This Row],[Cantidad]]</f>
        <v>#N/A</v>
      </c>
    </row>
    <row r="361" spans="1:9" x14ac:dyDescent="0.3">
      <c r="A361" s="17"/>
      <c r="B361" s="18"/>
      <c r="C361" s="17"/>
      <c r="D361" s="17" t="str">
        <f>IF(Entradas[[#This Row],[Proveedor (código)]]="","",VLOOKUP(Entradas[[#This Row],[Proveedor (código)]],Proveedores[[#All],[Código]:[Nombre fiscal]],2,FALSE))</f>
        <v/>
      </c>
      <c r="E361" s="29"/>
      <c r="F361" s="17" t="str">
        <f>IF(Entradas[[#This Row],[Artículo (código)]]="","",VLOOKUP(Entradas[[#This Row],[Artículo (código)]],Existencias!A:D,4,FALSE))</f>
        <v/>
      </c>
      <c r="H361" s="57" t="e">
        <f>VLOOKUP(Entradas[[#This Row],[Artículo (código)]],Existencias!A:F,6,FALSE)</f>
        <v>#N/A</v>
      </c>
      <c r="I361" s="58" t="e">
        <f>Entradas[[#This Row],[Precio POR UNIDAD]]*Entradas[[#This Row],[Cantidad]]</f>
        <v>#N/A</v>
      </c>
    </row>
    <row r="362" spans="1:9" x14ac:dyDescent="0.3">
      <c r="A362" s="17"/>
      <c r="B362" s="18"/>
      <c r="C362" s="17"/>
      <c r="D362" s="17" t="str">
        <f>IF(Entradas[[#This Row],[Proveedor (código)]]="","",VLOOKUP(Entradas[[#This Row],[Proveedor (código)]],Proveedores[[#All],[Código]:[Nombre fiscal]],2,FALSE))</f>
        <v/>
      </c>
      <c r="E362" s="29"/>
      <c r="F362" s="17" t="str">
        <f>IF(Entradas[[#This Row],[Artículo (código)]]="","",VLOOKUP(Entradas[[#This Row],[Artículo (código)]],Existencias!A:D,4,FALSE))</f>
        <v/>
      </c>
      <c r="H362" s="57" t="e">
        <f>VLOOKUP(Entradas[[#This Row],[Artículo (código)]],Existencias!A:F,6,FALSE)</f>
        <v>#N/A</v>
      </c>
      <c r="I362" s="58" t="e">
        <f>Entradas[[#This Row],[Precio POR UNIDAD]]*Entradas[[#This Row],[Cantidad]]</f>
        <v>#N/A</v>
      </c>
    </row>
    <row r="363" spans="1:9" x14ac:dyDescent="0.3">
      <c r="A363" s="17"/>
      <c r="B363" s="18"/>
      <c r="C363" s="17"/>
      <c r="D363" s="17" t="str">
        <f>IF(Entradas[[#This Row],[Proveedor (código)]]="","",VLOOKUP(Entradas[[#This Row],[Proveedor (código)]],Proveedores[[#All],[Código]:[Nombre fiscal]],2,FALSE))</f>
        <v/>
      </c>
      <c r="E363" s="29"/>
      <c r="F363" s="17" t="str">
        <f>IF(Entradas[[#This Row],[Artículo (código)]]="","",VLOOKUP(Entradas[[#This Row],[Artículo (código)]],Existencias!A:D,4,FALSE))</f>
        <v/>
      </c>
      <c r="H363" s="57" t="e">
        <f>VLOOKUP(Entradas[[#This Row],[Artículo (código)]],Existencias!A:F,6,FALSE)</f>
        <v>#N/A</v>
      </c>
      <c r="I363" s="58" t="e">
        <f>Entradas[[#This Row],[Precio POR UNIDAD]]*Entradas[[#This Row],[Cantidad]]</f>
        <v>#N/A</v>
      </c>
    </row>
    <row r="364" spans="1:9" x14ac:dyDescent="0.3">
      <c r="A364" s="17"/>
      <c r="B364" s="18"/>
      <c r="C364" s="17"/>
      <c r="D364" s="17" t="str">
        <f>IF(Entradas[[#This Row],[Proveedor (código)]]="","",VLOOKUP(Entradas[[#This Row],[Proveedor (código)]],Proveedores[[#All],[Código]:[Nombre fiscal]],2,FALSE))</f>
        <v/>
      </c>
      <c r="E364" s="29"/>
      <c r="F364" s="17" t="str">
        <f>IF(Entradas[[#This Row],[Artículo (código)]]="","",VLOOKUP(Entradas[[#This Row],[Artículo (código)]],Existencias!A:D,4,FALSE))</f>
        <v/>
      </c>
      <c r="H364" s="57" t="e">
        <f>VLOOKUP(Entradas[[#This Row],[Artículo (código)]],Existencias!A:F,6,FALSE)</f>
        <v>#N/A</v>
      </c>
      <c r="I364" s="58" t="e">
        <f>Entradas[[#This Row],[Precio POR UNIDAD]]*Entradas[[#This Row],[Cantidad]]</f>
        <v>#N/A</v>
      </c>
    </row>
    <row r="365" spans="1:9" x14ac:dyDescent="0.3">
      <c r="A365" s="17"/>
      <c r="B365" s="18"/>
      <c r="C365" s="17"/>
      <c r="D365" s="17" t="str">
        <f>IF(Entradas[[#This Row],[Proveedor (código)]]="","",VLOOKUP(Entradas[[#This Row],[Proveedor (código)]],Proveedores[[#All],[Código]:[Nombre fiscal]],2,FALSE))</f>
        <v/>
      </c>
      <c r="E365" s="29"/>
      <c r="F365" s="17" t="str">
        <f>IF(Entradas[[#This Row],[Artículo (código)]]="","",VLOOKUP(Entradas[[#This Row],[Artículo (código)]],Existencias!A:D,4,FALSE))</f>
        <v/>
      </c>
      <c r="H365" s="57" t="e">
        <f>VLOOKUP(Entradas[[#This Row],[Artículo (código)]],Existencias!A:F,6,FALSE)</f>
        <v>#N/A</v>
      </c>
      <c r="I365" s="58" t="e">
        <f>Entradas[[#This Row],[Precio POR UNIDAD]]*Entradas[[#This Row],[Cantidad]]</f>
        <v>#N/A</v>
      </c>
    </row>
    <row r="366" spans="1:9" x14ac:dyDescent="0.3">
      <c r="A366" s="17"/>
      <c r="B366" s="18"/>
      <c r="C366" s="17"/>
      <c r="D366" s="17" t="str">
        <f>IF(Entradas[[#This Row],[Proveedor (código)]]="","",VLOOKUP(Entradas[[#This Row],[Proveedor (código)]],Proveedores[[#All],[Código]:[Nombre fiscal]],2,FALSE))</f>
        <v/>
      </c>
      <c r="E366" s="29"/>
      <c r="F366" s="17" t="str">
        <f>IF(Entradas[[#This Row],[Artículo (código)]]="","",VLOOKUP(Entradas[[#This Row],[Artículo (código)]],Existencias!A:D,4,FALSE))</f>
        <v/>
      </c>
      <c r="H366" s="57" t="e">
        <f>VLOOKUP(Entradas[[#This Row],[Artículo (código)]],Existencias!A:F,6,FALSE)</f>
        <v>#N/A</v>
      </c>
      <c r="I366" s="58" t="e">
        <f>Entradas[[#This Row],[Precio POR UNIDAD]]*Entradas[[#This Row],[Cantidad]]</f>
        <v>#N/A</v>
      </c>
    </row>
    <row r="367" spans="1:9" x14ac:dyDescent="0.3">
      <c r="A367" s="17"/>
      <c r="B367" s="18"/>
      <c r="C367" s="17"/>
      <c r="D367" s="17" t="str">
        <f>IF(Entradas[[#This Row],[Proveedor (código)]]="","",VLOOKUP(Entradas[[#This Row],[Proveedor (código)]],Proveedores[[#All],[Código]:[Nombre fiscal]],2,FALSE))</f>
        <v/>
      </c>
      <c r="E367" s="29"/>
      <c r="F367" s="17" t="str">
        <f>IF(Entradas[[#This Row],[Artículo (código)]]="","",VLOOKUP(Entradas[[#This Row],[Artículo (código)]],Existencias!A:D,4,FALSE))</f>
        <v/>
      </c>
      <c r="H367" s="57" t="e">
        <f>VLOOKUP(Entradas[[#This Row],[Artículo (código)]],Existencias!A:F,6,FALSE)</f>
        <v>#N/A</v>
      </c>
      <c r="I367" s="58" t="e">
        <f>Entradas[[#This Row],[Precio POR UNIDAD]]*Entradas[[#This Row],[Cantidad]]</f>
        <v>#N/A</v>
      </c>
    </row>
    <row r="368" spans="1:9" x14ac:dyDescent="0.3">
      <c r="A368" s="17"/>
      <c r="B368" s="18"/>
      <c r="C368" s="17"/>
      <c r="D368" s="17" t="str">
        <f>IF(Entradas[[#This Row],[Proveedor (código)]]="","",VLOOKUP(Entradas[[#This Row],[Proveedor (código)]],Proveedores[[#All],[Código]:[Nombre fiscal]],2,FALSE))</f>
        <v/>
      </c>
      <c r="E368" s="29"/>
      <c r="F368" s="17" t="str">
        <f>IF(Entradas[[#This Row],[Artículo (código)]]="","",VLOOKUP(Entradas[[#This Row],[Artículo (código)]],Existencias!A:D,4,FALSE))</f>
        <v/>
      </c>
      <c r="H368" s="57" t="e">
        <f>VLOOKUP(Entradas[[#This Row],[Artículo (código)]],Existencias!A:F,6,FALSE)</f>
        <v>#N/A</v>
      </c>
      <c r="I368" s="58" t="e">
        <f>Entradas[[#This Row],[Precio POR UNIDAD]]*Entradas[[#This Row],[Cantidad]]</f>
        <v>#N/A</v>
      </c>
    </row>
    <row r="369" spans="1:9" x14ac:dyDescent="0.3">
      <c r="A369" s="17"/>
      <c r="B369" s="18"/>
      <c r="C369" s="17"/>
      <c r="D369" s="17" t="str">
        <f>IF(Entradas[[#This Row],[Proveedor (código)]]="","",VLOOKUP(Entradas[[#This Row],[Proveedor (código)]],Proveedores[[#All],[Código]:[Nombre fiscal]],2,FALSE))</f>
        <v/>
      </c>
      <c r="E369" s="29"/>
      <c r="F369" s="17" t="str">
        <f>IF(Entradas[[#This Row],[Artículo (código)]]="","",VLOOKUP(Entradas[[#This Row],[Artículo (código)]],Existencias!A:D,4,FALSE))</f>
        <v/>
      </c>
      <c r="H369" s="57" t="e">
        <f>VLOOKUP(Entradas[[#This Row],[Artículo (código)]],Existencias!A:F,6,FALSE)</f>
        <v>#N/A</v>
      </c>
      <c r="I369" s="58" t="e">
        <f>Entradas[[#This Row],[Precio POR UNIDAD]]*Entradas[[#This Row],[Cantidad]]</f>
        <v>#N/A</v>
      </c>
    </row>
    <row r="370" spans="1:9" x14ac:dyDescent="0.3">
      <c r="A370" s="17"/>
      <c r="B370" s="18"/>
      <c r="C370" s="17"/>
      <c r="D370" s="17" t="str">
        <f>IF(Entradas[[#This Row],[Proveedor (código)]]="","",VLOOKUP(Entradas[[#This Row],[Proveedor (código)]],Proveedores[[#All],[Código]:[Nombre fiscal]],2,FALSE))</f>
        <v/>
      </c>
      <c r="F370" s="17" t="str">
        <f>IF(Entradas[[#This Row],[Artículo (código)]]="","",VLOOKUP(Entradas[[#This Row],[Artículo (código)]],Existencias!A:D,4,FALSE))</f>
        <v/>
      </c>
      <c r="I370" s="58">
        <f>Entradas[[#This Row],[Precio POR UNIDAD]]*Entradas[[#This Row],[Cantidad]]</f>
        <v>0</v>
      </c>
    </row>
    <row r="371" spans="1:9" x14ac:dyDescent="0.3">
      <c r="A371" s="17"/>
      <c r="B371" s="18"/>
      <c r="C371" s="17"/>
      <c r="D371" s="17" t="str">
        <f>IF(Entradas[[#This Row],[Proveedor (código)]]="","",VLOOKUP(Entradas[[#This Row],[Proveedor (código)]],Proveedores[[#All],[Código]:[Nombre fiscal]],2,FALSE))</f>
        <v/>
      </c>
      <c r="F371" s="17" t="str">
        <f>IF(Entradas[[#This Row],[Artículo (código)]]="","",VLOOKUP(Entradas[[#This Row],[Artículo (código)]],Existencias!A:D,4,FALSE))</f>
        <v/>
      </c>
      <c r="H371" s="57"/>
      <c r="I371" s="58">
        <f>Entradas[[#This Row],[Precio POR UNIDAD]]*Entradas[[#This Row],[Cantidad]]</f>
        <v>0</v>
      </c>
    </row>
    <row r="372" spans="1:9" x14ac:dyDescent="0.3">
      <c r="A372" s="17" t="s">
        <v>85</v>
      </c>
      <c r="B372" s="17"/>
      <c r="C372" s="17"/>
      <c r="D372" s="17"/>
      <c r="F372" s="17"/>
      <c r="G372" s="17">
        <f>SUBTOTAL(109,Entradas[Cantidad])</f>
        <v>1851.1599999999999</v>
      </c>
      <c r="H372" s="58" t="e">
        <f>SUBTOTAL(109,Entradas[Precio POR UNIDAD])</f>
        <v>#N/A</v>
      </c>
      <c r="I372" s="17"/>
    </row>
  </sheetData>
  <mergeCells count="1">
    <mergeCell ref="A1:XFD1"/>
  </mergeCells>
  <phoneticPr fontId="4" type="noConversion"/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9F45595-12C4-42BA-9AFB-DFF0588AB2A3}">
          <x14:formula1>
            <xm:f>Existencias!$A:$A</xm:f>
          </x14:formula1>
          <xm:sqref>E3:E371</xm:sqref>
        </x14:dataValidation>
        <x14:dataValidation type="list" allowBlank="1" showInputMessage="1" showErrorMessage="1" xr:uid="{8558975C-7108-4F98-BEB0-2B556C9E6B8F}">
          <x14:formula1>
            <xm:f>Proveedores!$A:$A</xm:f>
          </x14:formula1>
          <xm:sqref>C3:C371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9560E-FA96-453E-A96D-65D9E9AE9A80}">
  <dimension ref="A1:H513"/>
  <sheetViews>
    <sheetView zoomScale="70" zoomScaleNormal="70" workbookViewId="0">
      <pane ySplit="1" topLeftCell="A454" activePane="bottomLeft" state="frozen"/>
      <selection pane="bottomLeft" activeCell="G491" sqref="G491"/>
    </sheetView>
  </sheetViews>
  <sheetFormatPr baseColWidth="10" defaultColWidth="16.6640625" defaultRowHeight="14.4" x14ac:dyDescent="0.3"/>
  <cols>
    <col min="1" max="1" width="9.44140625" bestFit="1" customWidth="1"/>
    <col min="2" max="2" width="17.21875" customWidth="1"/>
    <col min="3" max="3" width="17.44140625" bestFit="1" customWidth="1"/>
    <col min="4" max="4" width="18.6640625" bestFit="1" customWidth="1"/>
    <col min="5" max="5" width="18" bestFit="1" customWidth="1"/>
    <col min="6" max="6" width="37.88671875" style="24" customWidth="1"/>
    <col min="7" max="7" width="11.109375" bestFit="1" customWidth="1"/>
    <col min="8" max="8" width="8.88671875" hidden="1" customWidth="1"/>
  </cols>
  <sheetData>
    <row r="1" spans="1:8" s="64" customFormat="1" ht="75.599999999999994" customHeight="1" x14ac:dyDescent="0.3">
      <c r="A1" s="63"/>
    </row>
    <row r="2" spans="1:8" x14ac:dyDescent="0.3">
      <c r="A2" s="7" t="s">
        <v>1376</v>
      </c>
      <c r="B2" s="7" t="s">
        <v>18</v>
      </c>
      <c r="C2" s="7" t="s">
        <v>21</v>
      </c>
      <c r="D2" s="7" t="s">
        <v>22</v>
      </c>
      <c r="E2" s="7" t="s">
        <v>15</v>
      </c>
      <c r="F2" s="48" t="s">
        <v>14</v>
      </c>
      <c r="G2" s="7" t="s">
        <v>16</v>
      </c>
      <c r="H2" s="7" t="s">
        <v>17</v>
      </c>
    </row>
    <row r="3" spans="1:8" x14ac:dyDescent="0.3">
      <c r="A3" s="12">
        <v>1</v>
      </c>
      <c r="B3" s="13">
        <v>45661</v>
      </c>
      <c r="C3" s="17">
        <v>1</v>
      </c>
      <c r="D3" s="12" t="s">
        <v>692</v>
      </c>
      <c r="E3" s="29" t="s">
        <v>788</v>
      </c>
      <c r="F3" s="49" t="str">
        <f>IF(Salidas[[#This Row],[Artículo (código)]]="","",VLOOKUP(Salidas[[#This Row],[Artículo (código)]],Existencias!A:D,4,FALSE))</f>
        <v>Avena  1 kl</v>
      </c>
      <c r="G3" s="12">
        <v>1</v>
      </c>
      <c r="H3" s="12" t="e">
        <f>IF(Salidas[[#This Row],[Artículo (código)]]="","",VLOOKUP(Salidas[[#This Row],[Artículo (código)]],Existencias!A:F,7,FALSE))</f>
        <v>#REF!</v>
      </c>
    </row>
    <row r="4" spans="1:8" x14ac:dyDescent="0.3">
      <c r="A4" s="12"/>
      <c r="B4" s="13">
        <v>45661</v>
      </c>
      <c r="C4" s="17">
        <v>1</v>
      </c>
      <c r="D4" s="12" t="s">
        <v>692</v>
      </c>
      <c r="E4" s="29" t="s">
        <v>703</v>
      </c>
      <c r="F4" s="49" t="str">
        <f>IF(Salidas[[#This Row],[Artículo (código)]]="","",VLOOKUP(Salidas[[#This Row],[Artículo (código)]],Existencias!A:D,4,FALSE))</f>
        <v>Leche Evaporada  390 gr lata</v>
      </c>
      <c r="G4" s="12">
        <v>7</v>
      </c>
      <c r="H4" s="12" t="e">
        <f>IF(Salidas[[#This Row],[Artículo (código)]]="","",VLOOKUP(Salidas[[#This Row],[Artículo (código)]],Existencias!A:F,7,FALSE))</f>
        <v>#REF!</v>
      </c>
    </row>
    <row r="5" spans="1:8" x14ac:dyDescent="0.3">
      <c r="A5" s="12"/>
      <c r="B5" s="13">
        <v>46026</v>
      </c>
      <c r="C5" s="17">
        <v>1</v>
      </c>
      <c r="D5" s="12" t="s">
        <v>692</v>
      </c>
      <c r="E5" s="29" t="s">
        <v>989</v>
      </c>
      <c r="F5" s="49" t="str">
        <f>IF(Salidas[[#This Row],[Artículo (código)]]="","",VLOOKUP(Salidas[[#This Row],[Artículo (código)]],Existencias!A:D,4,FALSE))</f>
        <v>Huevo pardo</v>
      </c>
      <c r="G5" s="12">
        <v>25</v>
      </c>
      <c r="H5" s="12" t="e">
        <f>IF(Salidas[[#This Row],[Artículo (código)]]="","",VLOOKUP(Salidas[[#This Row],[Artículo (código)]],Existencias!A:F,7,FALSE))</f>
        <v>#REF!</v>
      </c>
    </row>
    <row r="6" spans="1:8" x14ac:dyDescent="0.3">
      <c r="A6" s="12"/>
      <c r="B6" s="13">
        <v>46026</v>
      </c>
      <c r="C6" s="17">
        <v>1</v>
      </c>
      <c r="D6" s="12" t="s">
        <v>692</v>
      </c>
      <c r="E6" s="29" t="s">
        <v>753</v>
      </c>
      <c r="F6" s="49" t="str">
        <f>IF(Salidas[[#This Row],[Artículo (código)]]="","",VLOOKUP(Salidas[[#This Row],[Artículo (código)]],Existencias!A:D,4,FALSE))</f>
        <v>Azucar rubia 1kg</v>
      </c>
      <c r="G6" s="12">
        <v>1</v>
      </c>
      <c r="H6" s="12" t="e">
        <f>IF(Salidas[[#This Row],[Artículo (código)]]="","",VLOOKUP(Salidas[[#This Row],[Artículo (código)]],Existencias!A:F,7,FALSE))</f>
        <v>#REF!</v>
      </c>
    </row>
    <row r="7" spans="1:8" x14ac:dyDescent="0.3">
      <c r="A7" s="12"/>
      <c r="B7" s="13">
        <v>46026</v>
      </c>
      <c r="C7" s="17">
        <v>1</v>
      </c>
      <c r="D7" s="12" t="s">
        <v>692</v>
      </c>
      <c r="E7" s="29" t="s">
        <v>917</v>
      </c>
      <c r="F7" s="49" t="str">
        <f>IF(Salidas[[#This Row],[Artículo (código)]]="","",VLOOKUP(Salidas[[#This Row],[Artículo (código)]],Existencias!A:D,4,FALSE))</f>
        <v>Fideos largos 900 gr</v>
      </c>
      <c r="G7" s="12">
        <v>4</v>
      </c>
      <c r="H7" s="12" t="e">
        <f>IF(Salidas[[#This Row],[Artículo (código)]]="","",VLOOKUP(Salidas[[#This Row],[Artículo (código)]],Existencias!A:F,7,FALSE))</f>
        <v>#REF!</v>
      </c>
    </row>
    <row r="8" spans="1:8" x14ac:dyDescent="0.3">
      <c r="A8" s="12"/>
      <c r="B8" s="13">
        <v>46026</v>
      </c>
      <c r="C8" s="17">
        <v>1</v>
      </c>
      <c r="D8" s="12" t="s">
        <v>692</v>
      </c>
      <c r="E8" s="29" t="s">
        <v>887</v>
      </c>
      <c r="F8" s="49" t="str">
        <f>IF(Salidas[[#This Row],[Artículo (código)]]="","",VLOOKUP(Salidas[[#This Row],[Artículo (código)]],Existencias!A:D,4,FALSE))</f>
        <v>Trozo de atun aceite lata</v>
      </c>
      <c r="G8" s="12">
        <v>20</v>
      </c>
      <c r="H8" s="12" t="e">
        <f>IF(Salidas[[#This Row],[Artículo (código)]]="","",VLOOKUP(Salidas[[#This Row],[Artículo (código)]],Existencias!A:F,7,FALSE))</f>
        <v>#REF!</v>
      </c>
    </row>
    <row r="9" spans="1:8" x14ac:dyDescent="0.3">
      <c r="A9" s="12"/>
      <c r="B9" s="13">
        <v>46026</v>
      </c>
      <c r="C9" s="17">
        <v>1</v>
      </c>
      <c r="D9" s="12" t="s">
        <v>692</v>
      </c>
      <c r="E9" s="29" t="s">
        <v>723</v>
      </c>
      <c r="F9" s="49" t="str">
        <f>IF(Salidas[[#This Row],[Artículo (código)]]="","",VLOOKUP(Salidas[[#This Row],[Artículo (código)]],Existencias!A:D,4,FALSE))</f>
        <v>Pollo fresco entero</v>
      </c>
      <c r="G9" s="12">
        <v>2</v>
      </c>
      <c r="H9" s="12" t="e">
        <f>IF(Salidas[[#This Row],[Artículo (código)]]="","",VLOOKUP(Salidas[[#This Row],[Artículo (código)]],Existencias!A:F,7,FALSE))</f>
        <v>#REF!</v>
      </c>
    </row>
    <row r="10" spans="1:8" x14ac:dyDescent="0.3">
      <c r="A10" s="12"/>
      <c r="B10" s="13">
        <v>46026</v>
      </c>
      <c r="C10" s="17">
        <v>1</v>
      </c>
      <c r="D10" s="12" t="s">
        <v>692</v>
      </c>
      <c r="E10" s="29" t="s">
        <v>846</v>
      </c>
      <c r="F10" s="49" t="str">
        <f>IF(Salidas[[#This Row],[Artículo (código)]]="","",VLOOKUP(Salidas[[#This Row],[Artículo (código)]],Existencias!A:D,4,FALSE))</f>
        <v>Salsa de tomate 145 gr</v>
      </c>
      <c r="G10" s="12">
        <v>1</v>
      </c>
      <c r="H10" s="12" t="e">
        <f>IF(Salidas[[#This Row],[Artículo (código)]]="","",VLOOKUP(Salidas[[#This Row],[Artículo (código)]],Existencias!A:F,7,FALSE))</f>
        <v>#REF!</v>
      </c>
    </row>
    <row r="11" spans="1:8" x14ac:dyDescent="0.3">
      <c r="A11" s="12"/>
      <c r="B11" s="13">
        <v>46026</v>
      </c>
      <c r="C11" s="17">
        <v>1</v>
      </c>
      <c r="D11" s="12" t="s">
        <v>692</v>
      </c>
      <c r="E11" s="29" t="s">
        <v>709</v>
      </c>
      <c r="F11" s="49" t="str">
        <f>IF(Salidas[[#This Row],[Artículo (código)]]="","",VLOOKUP(Salidas[[#This Row],[Artículo (código)]],Existencias!A:D,4,FALSE))</f>
        <v>Sal Mesa 1kg</v>
      </c>
      <c r="G11" s="12">
        <v>1</v>
      </c>
      <c r="H11" s="12" t="e">
        <f>IF(Salidas[[#This Row],[Artículo (código)]]="","",VLOOKUP(Salidas[[#This Row],[Artículo (código)]],Existencias!A:F,7,FALSE))</f>
        <v>#REF!</v>
      </c>
    </row>
    <row r="12" spans="1:8" x14ac:dyDescent="0.3">
      <c r="A12" s="12"/>
      <c r="B12" s="13">
        <v>46027</v>
      </c>
      <c r="C12" s="17">
        <v>1</v>
      </c>
      <c r="D12" s="12" t="s">
        <v>692</v>
      </c>
      <c r="E12" s="29" t="s">
        <v>788</v>
      </c>
      <c r="F12" s="49" t="str">
        <f>IF(Salidas[[#This Row],[Artículo (código)]]="","",VLOOKUP(Salidas[[#This Row],[Artículo (código)]],Existencias!A:D,4,FALSE))</f>
        <v>Avena  1 kl</v>
      </c>
      <c r="G12" s="12">
        <v>1</v>
      </c>
      <c r="H12" s="12" t="e">
        <f>IF(Salidas[[#This Row],[Artículo (código)]]="","",VLOOKUP(Salidas[[#This Row],[Artículo (código)]],Existencias!A:F,7,FALSE))</f>
        <v>#REF!</v>
      </c>
    </row>
    <row r="13" spans="1:8" x14ac:dyDescent="0.3">
      <c r="A13" s="12"/>
      <c r="B13" s="13">
        <v>46027</v>
      </c>
      <c r="C13" s="17">
        <v>1</v>
      </c>
      <c r="D13" s="12" t="s">
        <v>692</v>
      </c>
      <c r="E13" s="29" t="s">
        <v>989</v>
      </c>
      <c r="F13" s="49" t="str">
        <f>IF(Salidas[[#This Row],[Artículo (código)]]="","",VLOOKUP(Salidas[[#This Row],[Artículo (código)]],Existencias!A:D,4,FALSE))</f>
        <v>Huevo pardo</v>
      </c>
      <c r="G13" s="12">
        <v>30</v>
      </c>
      <c r="H13" s="12" t="e">
        <f>IF(Salidas[[#This Row],[Artículo (código)]]="","",VLOOKUP(Salidas[[#This Row],[Artículo (código)]],Existencias!A:F,7,FALSE))</f>
        <v>#REF!</v>
      </c>
    </row>
    <row r="14" spans="1:8" x14ac:dyDescent="0.3">
      <c r="A14" s="12"/>
      <c r="B14" s="13">
        <v>46027</v>
      </c>
      <c r="C14" s="17">
        <v>1</v>
      </c>
      <c r="D14" s="12" t="s">
        <v>692</v>
      </c>
      <c r="E14" s="29" t="s">
        <v>753</v>
      </c>
      <c r="F14" s="49" t="str">
        <f>IF(Salidas[[#This Row],[Artículo (código)]]="","",VLOOKUP(Salidas[[#This Row],[Artículo (código)]],Existencias!A:D,4,FALSE))</f>
        <v>Azucar rubia 1kg</v>
      </c>
      <c r="G14" s="12">
        <v>1</v>
      </c>
      <c r="H14" s="12" t="e">
        <f>IF(Salidas[[#This Row],[Artículo (código)]]="","",VLOOKUP(Salidas[[#This Row],[Artículo (código)]],Existencias!A:F,7,FALSE))</f>
        <v>#REF!</v>
      </c>
    </row>
    <row r="15" spans="1:8" x14ac:dyDescent="0.3">
      <c r="A15" s="12"/>
      <c r="B15" s="13">
        <v>46027</v>
      </c>
      <c r="C15" s="17">
        <v>1</v>
      </c>
      <c r="D15" s="12" t="s">
        <v>692</v>
      </c>
      <c r="E15" s="29" t="s">
        <v>1220</v>
      </c>
      <c r="F15" s="49" t="str">
        <f>IF(Salidas[[#This Row],[Artículo (código)]]="","",VLOOKUP(Salidas[[#This Row],[Artículo (código)]],Existencias!A:D,4,FALSE))</f>
        <v>Papa Seca 1 kg</v>
      </c>
      <c r="G15" s="12">
        <v>3</v>
      </c>
      <c r="H15" s="12" t="e">
        <f>IF(Salidas[[#This Row],[Artículo (código)]]="","",VLOOKUP(Salidas[[#This Row],[Artículo (código)]],Existencias!A:F,7,FALSE))</f>
        <v>#REF!</v>
      </c>
    </row>
    <row r="16" spans="1:8" x14ac:dyDescent="0.3">
      <c r="A16" s="12"/>
      <c r="B16" s="13">
        <v>46027</v>
      </c>
      <c r="C16" s="17">
        <v>1</v>
      </c>
      <c r="D16" s="12" t="s">
        <v>692</v>
      </c>
      <c r="E16" s="29" t="s">
        <v>780</v>
      </c>
      <c r="F16" s="49" t="str">
        <f>IF(Salidas[[#This Row],[Artículo (código)]]="","",VLOOKUP(Salidas[[#This Row],[Artículo (código)]],Existencias!A:D,4,FALSE))</f>
        <v>Bife de lomo</v>
      </c>
      <c r="G16" s="12">
        <v>1</v>
      </c>
      <c r="H16" s="12" t="e">
        <f>IF(Salidas[[#This Row],[Artículo (código)]]="","",VLOOKUP(Salidas[[#This Row],[Artículo (código)]],Existencias!A:F,7,FALSE))</f>
        <v>#REF!</v>
      </c>
    </row>
    <row r="17" spans="1:8" x14ac:dyDescent="0.3">
      <c r="A17" s="12"/>
      <c r="B17" s="13">
        <v>46027</v>
      </c>
      <c r="C17" s="17">
        <v>1</v>
      </c>
      <c r="D17" s="12" t="s">
        <v>692</v>
      </c>
      <c r="E17" s="29" t="s">
        <v>723</v>
      </c>
      <c r="F17" s="49" t="str">
        <f>IF(Salidas[[#This Row],[Artículo (código)]]="","",VLOOKUP(Salidas[[#This Row],[Artículo (código)]],Existencias!A:D,4,FALSE))</f>
        <v>Pollo fresco entero</v>
      </c>
      <c r="G17" s="12">
        <v>3</v>
      </c>
      <c r="H17" s="12" t="e">
        <f>IF(Salidas[[#This Row],[Artículo (código)]]="","",VLOOKUP(Salidas[[#This Row],[Artículo (código)]],Existencias!A:F,7,FALSE))</f>
        <v>#REF!</v>
      </c>
    </row>
    <row r="18" spans="1:8" x14ac:dyDescent="0.3">
      <c r="A18" s="12"/>
      <c r="B18" s="13">
        <v>46027</v>
      </c>
      <c r="C18" s="17">
        <v>1</v>
      </c>
      <c r="D18" s="12" t="s">
        <v>692</v>
      </c>
      <c r="E18" s="29" t="s">
        <v>800</v>
      </c>
      <c r="F18" s="49" t="str">
        <f>IF(Salidas[[#This Row],[Artículo (código)]]="","",VLOOKUP(Salidas[[#This Row],[Artículo (código)]],Existencias!A:D,4,FALSE))</f>
        <v xml:space="preserve">Arroz 5 kg </v>
      </c>
      <c r="G18" s="12">
        <v>1</v>
      </c>
      <c r="H18" s="12" t="e">
        <f>IF(Salidas[[#This Row],[Artículo (código)]]="","",VLOOKUP(Salidas[[#This Row],[Artículo (código)]],Existencias!A:F,7,FALSE))</f>
        <v>#REF!</v>
      </c>
    </row>
    <row r="19" spans="1:8" x14ac:dyDescent="0.3">
      <c r="A19" s="12"/>
      <c r="B19" s="13">
        <v>46027</v>
      </c>
      <c r="C19" s="17">
        <v>1</v>
      </c>
      <c r="D19" s="12" t="s">
        <v>692</v>
      </c>
      <c r="E19" s="29" t="s">
        <v>694</v>
      </c>
      <c r="F19" s="49" t="str">
        <f>IF(Salidas[[#This Row],[Artículo (código)]]="","",VLOOKUP(Salidas[[#This Row],[Artículo (código)]],Existencias!A:D,4,FALSE))</f>
        <v>Aceite Vegetal 900 ml</v>
      </c>
      <c r="G19" s="12">
        <v>1</v>
      </c>
      <c r="H19" s="12" t="e">
        <f>IF(Salidas[[#This Row],[Artículo (código)]]="","",VLOOKUP(Salidas[[#This Row],[Artículo (código)]],Existencias!A:F,7,FALSE))</f>
        <v>#REF!</v>
      </c>
    </row>
    <row r="20" spans="1:8" x14ac:dyDescent="0.3">
      <c r="A20" s="12"/>
      <c r="B20" s="13">
        <v>46027</v>
      </c>
      <c r="C20" s="17">
        <v>1</v>
      </c>
      <c r="D20" s="12" t="s">
        <v>692</v>
      </c>
      <c r="E20" s="29" t="s">
        <v>709</v>
      </c>
      <c r="F20" s="49" t="str">
        <f>IF(Salidas[[#This Row],[Artículo (código)]]="","",VLOOKUP(Salidas[[#This Row],[Artículo (código)]],Existencias!A:D,4,FALSE))</f>
        <v>Sal Mesa 1kg</v>
      </c>
      <c r="G20" s="12">
        <v>1</v>
      </c>
      <c r="H20" s="12" t="e">
        <f>IF(Salidas[[#This Row],[Artículo (código)]]="","",VLOOKUP(Salidas[[#This Row],[Artículo (código)]],Existencias!A:F,7,FALSE))</f>
        <v>#REF!</v>
      </c>
    </row>
    <row r="21" spans="1:8" x14ac:dyDescent="0.3">
      <c r="A21" s="12"/>
      <c r="B21" s="13">
        <v>46027</v>
      </c>
      <c r="C21" s="17">
        <v>1</v>
      </c>
      <c r="D21" s="12" t="s">
        <v>692</v>
      </c>
      <c r="E21" s="29" t="s">
        <v>1207</v>
      </c>
      <c r="F21" s="49" t="str">
        <f>IF(Salidas[[#This Row],[Artículo (código)]]="","",VLOOKUP(Salidas[[#This Row],[Artículo (código)]],Existencias!A:D,4,FALSE))</f>
        <v>Moron 500 gr</v>
      </c>
      <c r="G21" s="12">
        <v>1</v>
      </c>
      <c r="H21" s="12" t="e">
        <f>IF(Salidas[[#This Row],[Artículo (código)]]="","",VLOOKUP(Salidas[[#This Row],[Artículo (código)]],Existencias!A:F,7,FALSE))</f>
        <v>#REF!</v>
      </c>
    </row>
    <row r="22" spans="1:8" x14ac:dyDescent="0.3">
      <c r="A22" s="12"/>
      <c r="B22" s="13">
        <v>46028</v>
      </c>
      <c r="C22" s="17">
        <v>1</v>
      </c>
      <c r="D22" s="12" t="s">
        <v>692</v>
      </c>
      <c r="E22" s="29" t="s">
        <v>788</v>
      </c>
      <c r="F22" s="49" t="str">
        <f>IF(Salidas[[#This Row],[Artículo (código)]]="","",VLOOKUP(Salidas[[#This Row],[Artículo (código)]],Existencias!A:D,4,FALSE))</f>
        <v>Avena  1 kl</v>
      </c>
      <c r="G22" s="12">
        <v>1</v>
      </c>
      <c r="H22" s="12" t="e">
        <f>IF(Salidas[[#This Row],[Artículo (código)]]="","",VLOOKUP(Salidas[[#This Row],[Artículo (código)]],Existencias!A:F,7,FALSE))</f>
        <v>#REF!</v>
      </c>
    </row>
    <row r="23" spans="1:8" x14ac:dyDescent="0.3">
      <c r="A23" s="12"/>
      <c r="B23" s="13">
        <v>46028</v>
      </c>
      <c r="C23" s="17">
        <v>1</v>
      </c>
      <c r="D23" s="12" t="s">
        <v>692</v>
      </c>
      <c r="E23" s="29" t="s">
        <v>989</v>
      </c>
      <c r="F23" s="49" t="str">
        <f>IF(Salidas[[#This Row],[Artículo (código)]]="","",VLOOKUP(Salidas[[#This Row],[Artículo (código)]],Existencias!A:D,4,FALSE))</f>
        <v>Huevo pardo</v>
      </c>
      <c r="G23" s="12">
        <v>20</v>
      </c>
      <c r="H23" s="12" t="e">
        <f>IF(Salidas[[#This Row],[Artículo (código)]]="","",VLOOKUP(Salidas[[#This Row],[Artículo (código)]],Existencias!A:F,7,FALSE))</f>
        <v>#REF!</v>
      </c>
    </row>
    <row r="24" spans="1:8" x14ac:dyDescent="0.3">
      <c r="A24" s="12"/>
      <c r="B24" s="13">
        <v>46028</v>
      </c>
      <c r="C24" s="17">
        <v>1</v>
      </c>
      <c r="D24" s="12" t="s">
        <v>692</v>
      </c>
      <c r="E24" s="29" t="s">
        <v>753</v>
      </c>
      <c r="F24" s="49" t="str">
        <f>IF(Salidas[[#This Row],[Artículo (código)]]="","",VLOOKUP(Salidas[[#This Row],[Artículo (código)]],Existencias!A:D,4,FALSE))</f>
        <v>Azucar rubia 1kg</v>
      </c>
      <c r="G24" s="12">
        <v>1</v>
      </c>
      <c r="H24" s="12" t="e">
        <f>IF(Salidas[[#This Row],[Artículo (código)]]="","",VLOOKUP(Salidas[[#This Row],[Artículo (código)]],Existencias!A:F,7,FALSE))</f>
        <v>#REF!</v>
      </c>
    </row>
    <row r="25" spans="1:8" x14ac:dyDescent="0.3">
      <c r="A25" s="12"/>
      <c r="B25" s="13">
        <v>46028</v>
      </c>
      <c r="C25" s="17">
        <v>1</v>
      </c>
      <c r="D25" s="12" t="s">
        <v>692</v>
      </c>
      <c r="E25" s="29" t="s">
        <v>1270</v>
      </c>
      <c r="F25" s="49" t="str">
        <f>IF(Salidas[[#This Row],[Artículo (código)]]="","",VLOOKUP(Salidas[[#This Row],[Artículo (código)]],Existencias!A:D,4,FALSE))</f>
        <v>Filete de tilapa x 1kg (01 caja x10 kg)</v>
      </c>
      <c r="G25" s="12">
        <v>6</v>
      </c>
      <c r="H25" s="12" t="e">
        <f>IF(Salidas[[#This Row],[Artículo (código)]]="","",VLOOKUP(Salidas[[#This Row],[Artículo (código)]],Existencias!A:F,7,FALSE))</f>
        <v>#REF!</v>
      </c>
    </row>
    <row r="26" spans="1:8" x14ac:dyDescent="0.3">
      <c r="A26" s="12"/>
      <c r="B26" s="13">
        <v>46028</v>
      </c>
      <c r="C26" s="17">
        <v>1</v>
      </c>
      <c r="D26" s="12" t="s">
        <v>692</v>
      </c>
      <c r="E26" s="29" t="s">
        <v>800</v>
      </c>
      <c r="F26" s="49" t="str">
        <f>IF(Salidas[[#This Row],[Artículo (código)]]="","",VLOOKUP(Salidas[[#This Row],[Artículo (código)]],Existencias!A:D,4,FALSE))</f>
        <v xml:space="preserve">Arroz 5 kg </v>
      </c>
      <c r="G26" s="12">
        <v>1</v>
      </c>
      <c r="H26" s="12" t="e">
        <f>IF(Salidas[[#This Row],[Artículo (código)]]="","",VLOOKUP(Salidas[[#This Row],[Artículo (código)]],Existencias!A:F,7,FALSE))</f>
        <v>#REF!</v>
      </c>
    </row>
    <row r="27" spans="1:8" x14ac:dyDescent="0.3">
      <c r="A27" s="12"/>
      <c r="B27" s="13">
        <v>46028</v>
      </c>
      <c r="C27" s="17">
        <v>1</v>
      </c>
      <c r="D27" s="12" t="s">
        <v>692</v>
      </c>
      <c r="E27" s="29" t="s">
        <v>919</v>
      </c>
      <c r="F27" s="49" t="str">
        <f>IF(Salidas[[#This Row],[Artículo (código)]]="","",VLOOKUP(Salidas[[#This Row],[Artículo (código)]],Existencias!A:D,4,FALSE))</f>
        <v>Fideos cortos 250 gr</v>
      </c>
      <c r="G27" s="12">
        <v>3</v>
      </c>
      <c r="H27" s="12" t="e">
        <f>IF(Salidas[[#This Row],[Artículo (código)]]="","",VLOOKUP(Salidas[[#This Row],[Artículo (código)]],Existencias!A:F,7,FALSE))</f>
        <v>#REF!</v>
      </c>
    </row>
    <row r="28" spans="1:8" x14ac:dyDescent="0.3">
      <c r="A28" s="12"/>
      <c r="B28" s="13">
        <v>46028</v>
      </c>
      <c r="C28" s="17">
        <v>1</v>
      </c>
      <c r="D28" s="12" t="s">
        <v>692</v>
      </c>
      <c r="E28" s="29" t="s">
        <v>694</v>
      </c>
      <c r="F28" s="49" t="str">
        <f>IF(Salidas[[#This Row],[Artículo (código)]]="","",VLOOKUP(Salidas[[#This Row],[Artículo (código)]],Existencias!A:D,4,FALSE))</f>
        <v>Aceite Vegetal 900 ml</v>
      </c>
      <c r="G28" s="12">
        <v>1</v>
      </c>
      <c r="H28" s="12" t="e">
        <f>IF(Salidas[[#This Row],[Artículo (código)]]="","",VLOOKUP(Salidas[[#This Row],[Artículo (código)]],Existencias!A:F,7,FALSE))</f>
        <v>#REF!</v>
      </c>
    </row>
    <row r="29" spans="1:8" x14ac:dyDescent="0.3">
      <c r="A29" s="12"/>
      <c r="B29" s="13">
        <v>46028</v>
      </c>
      <c r="C29" s="17">
        <v>1</v>
      </c>
      <c r="D29" s="12" t="s">
        <v>692</v>
      </c>
      <c r="E29" s="29" t="s">
        <v>949</v>
      </c>
      <c r="F29" s="49" t="str">
        <f>IF(Salidas[[#This Row],[Artículo (código)]]="","",VLOOKUP(Salidas[[#This Row],[Artículo (código)]],Existencias!A:D,4,FALSE))</f>
        <v>GELATINA 160 gr</v>
      </c>
      <c r="G29" s="12">
        <v>5</v>
      </c>
      <c r="H29" s="12" t="e">
        <f>IF(Salidas[[#This Row],[Artículo (código)]]="","",VLOOKUP(Salidas[[#This Row],[Artículo (código)]],Existencias!A:F,7,FALSE))</f>
        <v>#REF!</v>
      </c>
    </row>
    <row r="30" spans="1:8" x14ac:dyDescent="0.3">
      <c r="A30" s="12"/>
      <c r="B30" s="13">
        <v>46029</v>
      </c>
      <c r="C30" s="17">
        <v>1</v>
      </c>
      <c r="D30" s="12" t="s">
        <v>692</v>
      </c>
      <c r="E30" s="29" t="s">
        <v>788</v>
      </c>
      <c r="F30" s="49" t="str">
        <f>IF(Salidas[[#This Row],[Artículo (código)]]="","",VLOOKUP(Salidas[[#This Row],[Artículo (código)]],Existencias!A:D,4,FALSE))</f>
        <v>Avena  1 kl</v>
      </c>
      <c r="G30" s="12">
        <v>1</v>
      </c>
      <c r="H30" s="12" t="e">
        <f>IF(Salidas[[#This Row],[Artículo (código)]]="","",VLOOKUP(Salidas[[#This Row],[Artículo (código)]],Existencias!A:F,7,FALSE))</f>
        <v>#REF!</v>
      </c>
    </row>
    <row r="31" spans="1:8" x14ac:dyDescent="0.3">
      <c r="A31" s="12"/>
      <c r="B31" s="13">
        <v>46029</v>
      </c>
      <c r="C31" s="17">
        <v>1</v>
      </c>
      <c r="D31" s="12" t="s">
        <v>692</v>
      </c>
      <c r="E31" s="29" t="s">
        <v>753</v>
      </c>
      <c r="F31" s="49" t="str">
        <f>IF(Salidas[[#This Row],[Artículo (código)]]="","",VLOOKUP(Salidas[[#This Row],[Artículo (código)]],Existencias!A:D,4,FALSE))</f>
        <v>Azucar rubia 1kg</v>
      </c>
      <c r="G31" s="12">
        <v>1</v>
      </c>
      <c r="H31" s="12" t="e">
        <f>IF(Salidas[[#This Row],[Artículo (código)]]="","",VLOOKUP(Salidas[[#This Row],[Artículo (código)]],Existencias!A:F,7,FALSE))</f>
        <v>#REF!</v>
      </c>
    </row>
    <row r="32" spans="1:8" x14ac:dyDescent="0.3">
      <c r="A32" s="12"/>
      <c r="B32" s="13">
        <v>46029</v>
      </c>
      <c r="C32" s="17">
        <v>1</v>
      </c>
      <c r="D32" s="12" t="s">
        <v>692</v>
      </c>
      <c r="E32" s="29" t="s">
        <v>800</v>
      </c>
      <c r="F32" s="49" t="str">
        <f>IF(Salidas[[#This Row],[Artículo (código)]]="","",VLOOKUP(Salidas[[#This Row],[Artículo (código)]],Existencias!A:D,4,FALSE))</f>
        <v xml:space="preserve">Arroz 5 kg </v>
      </c>
      <c r="G32" s="12">
        <v>1</v>
      </c>
      <c r="H32" s="12" t="e">
        <f>IF(Salidas[[#This Row],[Artículo (código)]]="","",VLOOKUP(Salidas[[#This Row],[Artículo (código)]],Existencias!A:F,7,FALSE))</f>
        <v>#REF!</v>
      </c>
    </row>
    <row r="33" spans="1:8" x14ac:dyDescent="0.3">
      <c r="A33" s="12"/>
      <c r="B33" s="13">
        <v>46029</v>
      </c>
      <c r="C33" s="17">
        <v>1</v>
      </c>
      <c r="D33" s="12" t="s">
        <v>692</v>
      </c>
      <c r="E33" s="29" t="s">
        <v>723</v>
      </c>
      <c r="F33" s="49" t="str">
        <f>IF(Salidas[[#This Row],[Artículo (código)]]="","",VLOOKUP(Salidas[[#This Row],[Artículo (código)]],Existencias!A:D,4,FALSE))</f>
        <v>Pollo fresco entero</v>
      </c>
      <c r="G33" s="12">
        <v>6</v>
      </c>
      <c r="H33" s="12" t="e">
        <f>IF(Salidas[[#This Row],[Artículo (código)]]="","",VLOOKUP(Salidas[[#This Row],[Artículo (código)]],Existencias!A:F,7,FALSE))</f>
        <v>#REF!</v>
      </c>
    </row>
    <row r="34" spans="1:8" x14ac:dyDescent="0.3">
      <c r="A34" s="12"/>
      <c r="B34" s="13">
        <v>46029</v>
      </c>
      <c r="C34" s="17">
        <v>1</v>
      </c>
      <c r="D34" s="12" t="s">
        <v>692</v>
      </c>
      <c r="E34" s="29" t="s">
        <v>703</v>
      </c>
      <c r="F34" s="49" t="str">
        <f>IF(Salidas[[#This Row],[Artículo (código)]]="","",VLOOKUP(Salidas[[#This Row],[Artículo (código)]],Existencias!A:D,4,FALSE))</f>
        <v>Leche Evaporada  390 gr lata</v>
      </c>
      <c r="G34" s="12">
        <v>15</v>
      </c>
      <c r="H34" s="12" t="e">
        <f>IF(Salidas[[#This Row],[Artículo (código)]]="","",VLOOKUP(Salidas[[#This Row],[Artículo (código)]],Existencias!A:F,7,FALSE))</f>
        <v>#REF!</v>
      </c>
    </row>
    <row r="35" spans="1:8" x14ac:dyDescent="0.3">
      <c r="A35" s="12"/>
      <c r="B35" s="13">
        <v>46029</v>
      </c>
      <c r="C35" s="17">
        <v>1</v>
      </c>
      <c r="D35" s="12" t="s">
        <v>692</v>
      </c>
      <c r="E35" s="29" t="s">
        <v>923</v>
      </c>
      <c r="F35" s="49" t="e">
        <f>IF(Salidas[[#This Row],[Artículo (código)]]="","",VLOOKUP(Salidas[[#This Row],[Artículo (código)]],Existencias!A:D,4,FALSE))</f>
        <v>#N/A</v>
      </c>
      <c r="G35" s="12">
        <v>4</v>
      </c>
      <c r="H35" s="12" t="e">
        <f>IF(Salidas[[#This Row],[Artículo (código)]]="","",VLOOKUP(Salidas[[#This Row],[Artículo (código)]],Existencias!A:F,7,FALSE))</f>
        <v>#N/A</v>
      </c>
    </row>
    <row r="36" spans="1:8" x14ac:dyDescent="0.3">
      <c r="A36" s="12"/>
      <c r="B36" s="13">
        <v>46029</v>
      </c>
      <c r="C36" s="17">
        <v>1</v>
      </c>
      <c r="D36" s="12" t="s">
        <v>692</v>
      </c>
      <c r="E36" s="29" t="s">
        <v>819</v>
      </c>
      <c r="F36" s="49" t="str">
        <f>IF(Salidas[[#This Row],[Artículo (código)]]="","",VLOOKUP(Salidas[[#This Row],[Artículo (código)]],Existencias!A:D,4,FALSE))</f>
        <v>Cebada kg</v>
      </c>
      <c r="G36" s="12">
        <v>0.5</v>
      </c>
      <c r="H36" s="12" t="e">
        <f>IF(Salidas[[#This Row],[Artículo (código)]]="","",VLOOKUP(Salidas[[#This Row],[Artículo (código)]],Existencias!A:F,7,FALSE))</f>
        <v>#REF!</v>
      </c>
    </row>
    <row r="37" spans="1:8" x14ac:dyDescent="0.3">
      <c r="A37" s="12"/>
      <c r="B37" s="13">
        <v>46029</v>
      </c>
      <c r="C37" s="17">
        <v>1</v>
      </c>
      <c r="D37" s="12" t="s">
        <v>692</v>
      </c>
      <c r="E37" s="29" t="s">
        <v>823</v>
      </c>
      <c r="F37" s="49" t="str">
        <f>IF(Salidas[[#This Row],[Artículo (código)]]="","",VLOOKUP(Salidas[[#This Row],[Artículo (código)]],Existencias!A:D,4,FALSE))</f>
        <v>linaza 1  kg</v>
      </c>
      <c r="G37" s="12">
        <v>0.25</v>
      </c>
      <c r="H37" s="12" t="e">
        <f>IF(Salidas[[#This Row],[Artículo (código)]]="","",VLOOKUP(Salidas[[#This Row],[Artículo (código)]],Existencias!A:F,7,FALSE))</f>
        <v>#REF!</v>
      </c>
    </row>
    <row r="38" spans="1:8" x14ac:dyDescent="0.3">
      <c r="A38" s="12"/>
      <c r="B38" s="13">
        <v>46030</v>
      </c>
      <c r="C38" s="17">
        <v>1</v>
      </c>
      <c r="D38" s="12" t="s">
        <v>692</v>
      </c>
      <c r="E38" s="29" t="s">
        <v>788</v>
      </c>
      <c r="F38" s="49" t="str">
        <f>IF(Salidas[[#This Row],[Artículo (código)]]="","",VLOOKUP(Salidas[[#This Row],[Artículo (código)]],Existencias!A:D,4,FALSE))</f>
        <v>Avena  1 kl</v>
      </c>
      <c r="G38" s="12">
        <v>1</v>
      </c>
      <c r="H38" s="12" t="e">
        <f>IF(Salidas[[#This Row],[Artículo (código)]]="","",VLOOKUP(Salidas[[#This Row],[Artículo (código)]],Existencias!A:F,7,FALSE))</f>
        <v>#REF!</v>
      </c>
    </row>
    <row r="39" spans="1:8" x14ac:dyDescent="0.3">
      <c r="A39" s="12"/>
      <c r="B39" s="13">
        <v>46030</v>
      </c>
      <c r="C39" s="17">
        <v>1</v>
      </c>
      <c r="D39" s="12" t="s">
        <v>692</v>
      </c>
      <c r="E39" s="29" t="s">
        <v>989</v>
      </c>
      <c r="F39" s="49" t="str">
        <f>IF(Salidas[[#This Row],[Artículo (código)]]="","",VLOOKUP(Salidas[[#This Row],[Artículo (código)]],Existencias!A:D,4,FALSE))</f>
        <v>Huevo pardo</v>
      </c>
      <c r="G39" s="12">
        <v>20</v>
      </c>
      <c r="H39" s="12" t="e">
        <f>IF(Salidas[[#This Row],[Artículo (código)]]="","",VLOOKUP(Salidas[[#This Row],[Artículo (código)]],Existencias!A:F,7,FALSE))</f>
        <v>#REF!</v>
      </c>
    </row>
    <row r="40" spans="1:8" x14ac:dyDescent="0.3">
      <c r="A40" s="12"/>
      <c r="B40" s="13">
        <v>46030</v>
      </c>
      <c r="C40" s="17">
        <v>1</v>
      </c>
      <c r="D40" s="12" t="s">
        <v>692</v>
      </c>
      <c r="E40" s="29" t="s">
        <v>753</v>
      </c>
      <c r="F40" s="49" t="str">
        <f>IF(Salidas[[#This Row],[Artículo (código)]]="","",VLOOKUP(Salidas[[#This Row],[Artículo (código)]],Existencias!A:D,4,FALSE))</f>
        <v>Azucar rubia 1kg</v>
      </c>
      <c r="G40" s="12">
        <v>0.5</v>
      </c>
      <c r="H40" s="12" t="e">
        <f>IF(Salidas[[#This Row],[Artículo (código)]]="","",VLOOKUP(Salidas[[#This Row],[Artículo (código)]],Existencias!A:F,7,FALSE))</f>
        <v>#REF!</v>
      </c>
    </row>
    <row r="41" spans="1:8" x14ac:dyDescent="0.3">
      <c r="A41" s="12"/>
      <c r="B41" s="13">
        <v>46030</v>
      </c>
      <c r="C41" s="17">
        <v>1</v>
      </c>
      <c r="D41" s="12" t="s">
        <v>692</v>
      </c>
      <c r="E41" s="29" t="s">
        <v>1180</v>
      </c>
      <c r="F41" s="49" t="str">
        <f>IF(Salidas[[#This Row],[Artículo (código)]]="","",VLOOKUP(Salidas[[#This Row],[Artículo (código)]],Existencias!A:D,4,FALSE))</f>
        <v>Frejol Castilla 1 kg</v>
      </c>
      <c r="G41" s="12">
        <v>3</v>
      </c>
      <c r="H41" s="12" t="e">
        <f>IF(Salidas[[#This Row],[Artículo (código)]]="","",VLOOKUP(Salidas[[#This Row],[Artículo (código)]],Existencias!A:F,7,FALSE))</f>
        <v>#REF!</v>
      </c>
    </row>
    <row r="42" spans="1:8" x14ac:dyDescent="0.3">
      <c r="A42" s="12"/>
      <c r="B42" s="13">
        <v>46030</v>
      </c>
      <c r="C42" s="17">
        <v>1</v>
      </c>
      <c r="D42" s="12" t="s">
        <v>692</v>
      </c>
      <c r="E42" s="29" t="s">
        <v>800</v>
      </c>
      <c r="F42" s="49" t="str">
        <f>IF(Salidas[[#This Row],[Artículo (código)]]="","",VLOOKUP(Salidas[[#This Row],[Artículo (código)]],Existencias!A:D,4,FALSE))</f>
        <v xml:space="preserve">Arroz 5 kg </v>
      </c>
      <c r="G42" s="12">
        <v>1</v>
      </c>
      <c r="H42" s="12" t="e">
        <f>IF(Salidas[[#This Row],[Artículo (código)]]="","",VLOOKUP(Salidas[[#This Row],[Artículo (código)]],Existencias!A:F,7,FALSE))</f>
        <v>#REF!</v>
      </c>
    </row>
    <row r="43" spans="1:8" x14ac:dyDescent="0.3">
      <c r="A43" s="12"/>
      <c r="B43" s="13">
        <v>46030</v>
      </c>
      <c r="C43" s="17">
        <v>1</v>
      </c>
      <c r="D43" s="12" t="s">
        <v>692</v>
      </c>
      <c r="E43" s="29" t="s">
        <v>887</v>
      </c>
      <c r="F43" s="49" t="str">
        <f>IF(Salidas[[#This Row],[Artículo (código)]]="","",VLOOKUP(Salidas[[#This Row],[Artículo (código)]],Existencias!A:D,4,FALSE))</f>
        <v>Trozo de atun aceite lata</v>
      </c>
      <c r="G43" s="12">
        <v>15</v>
      </c>
      <c r="H43" s="12" t="e">
        <f>IF(Salidas[[#This Row],[Artículo (código)]]="","",VLOOKUP(Salidas[[#This Row],[Artículo (código)]],Existencias!A:F,7,FALSE))</f>
        <v>#REF!</v>
      </c>
    </row>
    <row r="44" spans="1:8" x14ac:dyDescent="0.3">
      <c r="A44" s="12"/>
      <c r="B44" s="13">
        <v>46030</v>
      </c>
      <c r="C44" s="17">
        <v>1</v>
      </c>
      <c r="D44" s="12" t="s">
        <v>692</v>
      </c>
      <c r="E44" s="29" t="s">
        <v>753</v>
      </c>
      <c r="F44" s="49" t="str">
        <f>IF(Salidas[[#This Row],[Artículo (código)]]="","",VLOOKUP(Salidas[[#This Row],[Artículo (código)]],Existencias!A:D,4,FALSE))</f>
        <v>Azucar rubia 1kg</v>
      </c>
      <c r="G44" s="12">
        <v>1</v>
      </c>
      <c r="H44" s="12" t="e">
        <f>IF(Salidas[[#This Row],[Artículo (código)]]="","",VLOOKUP(Salidas[[#This Row],[Artículo (código)]],Existencias!A:F,7,FALSE))</f>
        <v>#REF!</v>
      </c>
    </row>
    <row r="45" spans="1:8" x14ac:dyDescent="0.3">
      <c r="A45" s="12"/>
      <c r="B45" s="13">
        <v>46030</v>
      </c>
      <c r="C45" s="17">
        <v>1</v>
      </c>
      <c r="D45" s="12" t="s">
        <v>692</v>
      </c>
      <c r="E45" s="29" t="s">
        <v>709</v>
      </c>
      <c r="F45" s="49" t="str">
        <f>IF(Salidas[[#This Row],[Artículo (código)]]="","",VLOOKUP(Salidas[[#This Row],[Artículo (código)]],Existencias!A:D,4,FALSE))</f>
        <v>Sal Mesa 1kg</v>
      </c>
      <c r="G45" s="12">
        <v>2</v>
      </c>
      <c r="H45" s="12" t="e">
        <f>IF(Salidas[[#This Row],[Artículo (código)]]="","",VLOOKUP(Salidas[[#This Row],[Artículo (código)]],Existencias!A:F,7,FALSE))</f>
        <v>#REF!</v>
      </c>
    </row>
    <row r="46" spans="1:8" x14ac:dyDescent="0.3">
      <c r="A46" s="12"/>
      <c r="B46" s="13">
        <v>46031</v>
      </c>
      <c r="C46" s="17">
        <v>1</v>
      </c>
      <c r="D46" s="12" t="s">
        <v>692</v>
      </c>
      <c r="E46" s="29" t="s">
        <v>1227</v>
      </c>
      <c r="F46" s="49" t="str">
        <f>IF(Salidas[[#This Row],[Artículo (código)]]="","",VLOOKUP(Salidas[[#This Row],[Artículo (código)]],Existencias!A:D,4,FALSE))</f>
        <v>Quinua 1 kg</v>
      </c>
      <c r="G46" s="12">
        <v>1</v>
      </c>
      <c r="H46" s="12" t="e">
        <f>IF(Salidas[[#This Row],[Artículo (código)]]="","",VLOOKUP(Salidas[[#This Row],[Artículo (código)]],Existencias!A:F,7,FALSE))</f>
        <v>#REF!</v>
      </c>
    </row>
    <row r="47" spans="1:8" x14ac:dyDescent="0.3">
      <c r="A47" s="12"/>
      <c r="B47" s="13">
        <v>46031</v>
      </c>
      <c r="C47" s="17">
        <v>1</v>
      </c>
      <c r="D47" s="12" t="s">
        <v>692</v>
      </c>
      <c r="E47" s="29" t="s">
        <v>989</v>
      </c>
      <c r="F47" s="49" t="str">
        <f>IF(Salidas[[#This Row],[Artículo (código)]]="","",VLOOKUP(Salidas[[#This Row],[Artículo (código)]],Existencias!A:D,4,FALSE))</f>
        <v>Huevo pardo</v>
      </c>
      <c r="G47" s="12">
        <v>35</v>
      </c>
      <c r="H47" s="12" t="e">
        <f>IF(Salidas[[#This Row],[Artículo (código)]]="","",VLOOKUP(Salidas[[#This Row],[Artículo (código)]],Existencias!A:F,7,FALSE))</f>
        <v>#REF!</v>
      </c>
    </row>
    <row r="48" spans="1:8" x14ac:dyDescent="0.3">
      <c r="A48" s="12"/>
      <c r="B48" s="13">
        <v>46031</v>
      </c>
      <c r="C48" s="17">
        <v>1</v>
      </c>
      <c r="D48" s="12" t="s">
        <v>692</v>
      </c>
      <c r="E48" s="29" t="s">
        <v>753</v>
      </c>
      <c r="F48" s="49" t="str">
        <f>IF(Salidas[[#This Row],[Artículo (código)]]="","",VLOOKUP(Salidas[[#This Row],[Artículo (código)]],Existencias!A:D,4,FALSE))</f>
        <v>Azucar rubia 1kg</v>
      </c>
      <c r="G48" s="12">
        <v>0.5</v>
      </c>
      <c r="H48" s="12" t="e">
        <f>IF(Salidas[[#This Row],[Artículo (código)]]="","",VLOOKUP(Salidas[[#This Row],[Artículo (código)]],Existencias!A:F,7,FALSE))</f>
        <v>#REF!</v>
      </c>
    </row>
    <row r="49" spans="1:8" x14ac:dyDescent="0.3">
      <c r="A49" s="12"/>
      <c r="B49" s="13">
        <v>46031</v>
      </c>
      <c r="C49" s="17">
        <v>1</v>
      </c>
      <c r="D49" s="12" t="s">
        <v>692</v>
      </c>
      <c r="E49" s="29" t="s">
        <v>800</v>
      </c>
      <c r="F49" s="49" t="str">
        <f>IF(Salidas[[#This Row],[Artículo (código)]]="","",VLOOKUP(Salidas[[#This Row],[Artículo (código)]],Existencias!A:D,4,FALSE))</f>
        <v xml:space="preserve">Arroz 5 kg </v>
      </c>
      <c r="G49" s="12">
        <v>1</v>
      </c>
      <c r="H49" s="12" t="e">
        <f>IF(Salidas[[#This Row],[Artículo (código)]]="","",VLOOKUP(Salidas[[#This Row],[Artículo (código)]],Existencias!A:F,7,FALSE))</f>
        <v>#REF!</v>
      </c>
    </row>
    <row r="50" spans="1:8" x14ac:dyDescent="0.3">
      <c r="A50" s="12"/>
      <c r="B50" s="13">
        <v>46031</v>
      </c>
      <c r="C50" s="17">
        <v>1</v>
      </c>
      <c r="D50" s="12" t="s">
        <v>692</v>
      </c>
      <c r="E50" s="29" t="s">
        <v>799</v>
      </c>
      <c r="F50" s="49" t="str">
        <f>IF(Salidas[[#This Row],[Artículo (código)]]="","",VLOOKUP(Salidas[[#This Row],[Artículo (código)]],Existencias!A:D,4,FALSE))</f>
        <v>Arroz 1 kg</v>
      </c>
      <c r="G50" s="12">
        <v>2</v>
      </c>
      <c r="H50" s="12" t="e">
        <f>IF(Salidas[[#This Row],[Artículo (código)]]="","",VLOOKUP(Salidas[[#This Row],[Artículo (código)]],Existencias!A:F,7,FALSE))</f>
        <v>#REF!</v>
      </c>
    </row>
    <row r="51" spans="1:8" x14ac:dyDescent="0.3">
      <c r="A51" s="12"/>
      <c r="B51" s="13">
        <v>46031</v>
      </c>
      <c r="C51" s="17">
        <v>1</v>
      </c>
      <c r="D51" s="12" t="s">
        <v>692</v>
      </c>
      <c r="E51" s="29" t="s">
        <v>723</v>
      </c>
      <c r="F51" s="49" t="str">
        <f>IF(Salidas[[#This Row],[Artículo (código)]]="","",VLOOKUP(Salidas[[#This Row],[Artículo (código)]],Existencias!A:D,4,FALSE))</f>
        <v>Pollo fresco entero</v>
      </c>
      <c r="G51" s="12">
        <v>6</v>
      </c>
      <c r="H51" s="12" t="e">
        <f>IF(Salidas[[#This Row],[Artículo (código)]]="","",VLOOKUP(Salidas[[#This Row],[Artículo (código)]],Existencias!A:F,7,FALSE))</f>
        <v>#REF!</v>
      </c>
    </row>
    <row r="52" spans="1:8" x14ac:dyDescent="0.3">
      <c r="A52" s="12"/>
      <c r="B52" s="13">
        <v>46031</v>
      </c>
      <c r="C52" s="17">
        <v>1</v>
      </c>
      <c r="D52" s="12" t="s">
        <v>692</v>
      </c>
      <c r="E52" s="29" t="s">
        <v>694</v>
      </c>
      <c r="F52" s="49" t="str">
        <f>IF(Salidas[[#This Row],[Artículo (código)]]="","",VLOOKUP(Salidas[[#This Row],[Artículo (código)]],Existencias!A:D,4,FALSE))</f>
        <v>Aceite Vegetal 900 ml</v>
      </c>
      <c r="G52" s="12">
        <v>1</v>
      </c>
      <c r="H52" s="12" t="e">
        <f>IF(Salidas[[#This Row],[Artículo (código)]]="","",VLOOKUP(Salidas[[#This Row],[Artículo (código)]],Existencias!A:F,7,FALSE))</f>
        <v>#REF!</v>
      </c>
    </row>
    <row r="53" spans="1:8" x14ac:dyDescent="0.3">
      <c r="A53" s="12"/>
      <c r="B53" s="13">
        <v>46031</v>
      </c>
      <c r="C53" s="17">
        <v>1</v>
      </c>
      <c r="D53" s="12" t="s">
        <v>692</v>
      </c>
      <c r="E53" s="29" t="s">
        <v>1247</v>
      </c>
      <c r="F53" s="49" t="str">
        <f>IF(Salidas[[#This Row],[Artículo (código)]]="","",VLOOKUP(Salidas[[#This Row],[Artículo (código)]],Existencias!A:D,4,FALSE))</f>
        <v>semola 500 gr</v>
      </c>
      <c r="G53" s="12">
        <v>3</v>
      </c>
      <c r="H53" s="12" t="e">
        <f>IF(Salidas[[#This Row],[Artículo (código)]]="","",VLOOKUP(Salidas[[#This Row],[Artículo (código)]],Existencias!A:F,7,FALSE))</f>
        <v>#REF!</v>
      </c>
    </row>
    <row r="54" spans="1:8" x14ac:dyDescent="0.3">
      <c r="A54" s="12"/>
      <c r="B54" s="13">
        <v>46031</v>
      </c>
      <c r="C54" s="17">
        <v>1</v>
      </c>
      <c r="D54" s="12" t="s">
        <v>692</v>
      </c>
      <c r="E54" s="29" t="s">
        <v>949</v>
      </c>
      <c r="F54" s="49" t="str">
        <f>IF(Salidas[[#This Row],[Artículo (código)]]="","",VLOOKUP(Salidas[[#This Row],[Artículo (código)]],Existencias!A:D,4,FALSE))</f>
        <v>GELATINA 160 gr</v>
      </c>
      <c r="G54" s="12">
        <v>5</v>
      </c>
      <c r="H54" s="12" t="e">
        <f>IF(Salidas[[#This Row],[Artículo (código)]]="","",VLOOKUP(Salidas[[#This Row],[Artículo (código)]],Existencias!A:F,7,FALSE))</f>
        <v>#REF!</v>
      </c>
    </row>
    <row r="55" spans="1:8" x14ac:dyDescent="0.3">
      <c r="A55" s="12"/>
      <c r="B55" s="13">
        <v>46032</v>
      </c>
      <c r="C55" s="17">
        <v>1</v>
      </c>
      <c r="D55" s="12" t="s">
        <v>692</v>
      </c>
      <c r="E55" s="29" t="s">
        <v>788</v>
      </c>
      <c r="F55" s="49" t="str">
        <f>IF(Salidas[[#This Row],[Artículo (código)]]="","",VLOOKUP(Salidas[[#This Row],[Artículo (código)]],Existencias!A:D,4,FALSE))</f>
        <v>Avena  1 kl</v>
      </c>
      <c r="G55" s="12">
        <v>2</v>
      </c>
      <c r="H55" s="12" t="e">
        <f>IF(Salidas[[#This Row],[Artículo (código)]]="","",VLOOKUP(Salidas[[#This Row],[Artículo (código)]],Existencias!A:F,7,FALSE))</f>
        <v>#REF!</v>
      </c>
    </row>
    <row r="56" spans="1:8" x14ac:dyDescent="0.3">
      <c r="A56" s="12"/>
      <c r="B56" s="13">
        <v>46032</v>
      </c>
      <c r="C56" s="17">
        <v>1</v>
      </c>
      <c r="D56" s="12" t="s">
        <v>692</v>
      </c>
      <c r="E56" s="29" t="s">
        <v>753</v>
      </c>
      <c r="F56" s="49" t="str">
        <f>IF(Salidas[[#This Row],[Artículo (código)]]="","",VLOOKUP(Salidas[[#This Row],[Artículo (código)]],Existencias!A:D,4,FALSE))</f>
        <v>Azucar rubia 1kg</v>
      </c>
      <c r="G56" s="12">
        <v>1</v>
      </c>
      <c r="H56" s="12" t="e">
        <f>IF(Salidas[[#This Row],[Artículo (código)]]="","",VLOOKUP(Salidas[[#This Row],[Artículo (código)]],Existencias!A:F,7,FALSE))</f>
        <v>#REF!</v>
      </c>
    </row>
    <row r="57" spans="1:8" x14ac:dyDescent="0.3">
      <c r="A57" s="12"/>
      <c r="B57" s="13">
        <v>46032</v>
      </c>
      <c r="C57" s="17">
        <v>1</v>
      </c>
      <c r="D57" s="12" t="s">
        <v>692</v>
      </c>
      <c r="E57" s="29" t="s">
        <v>828</v>
      </c>
      <c r="F57" s="49" t="str">
        <f>IF(Salidas[[#This Row],[Artículo (código)]]="","",VLOOKUP(Salidas[[#This Row],[Artículo (código)]],Existencias!A:D,4,FALSE))</f>
        <v xml:space="preserve">Canela molida </v>
      </c>
      <c r="G57" s="12">
        <v>0.1</v>
      </c>
      <c r="H57" s="12" t="e">
        <f>IF(Salidas[[#This Row],[Artículo (código)]]="","",VLOOKUP(Salidas[[#This Row],[Artículo (código)]],Existencias!A:F,7,FALSE))</f>
        <v>#REF!</v>
      </c>
    </row>
    <row r="58" spans="1:8" x14ac:dyDescent="0.3">
      <c r="A58" s="12"/>
      <c r="B58" s="13">
        <v>46032</v>
      </c>
      <c r="C58" s="17">
        <v>1</v>
      </c>
      <c r="D58" s="12" t="s">
        <v>692</v>
      </c>
      <c r="E58" s="29" t="s">
        <v>800</v>
      </c>
      <c r="F58" s="49" t="str">
        <f>IF(Salidas[[#This Row],[Artículo (código)]]="","",VLOOKUP(Salidas[[#This Row],[Artículo (código)]],Existencias!A:D,4,FALSE))</f>
        <v xml:space="preserve">Arroz 5 kg </v>
      </c>
      <c r="G58" s="12">
        <v>1</v>
      </c>
      <c r="H58" s="12" t="e">
        <f>IF(Salidas[[#This Row],[Artículo (código)]]="","",VLOOKUP(Salidas[[#This Row],[Artículo (código)]],Existencias!A:F,7,FALSE))</f>
        <v>#REF!</v>
      </c>
    </row>
    <row r="59" spans="1:8" x14ac:dyDescent="0.3">
      <c r="A59" s="12"/>
      <c r="B59" s="13">
        <v>46032</v>
      </c>
      <c r="C59" s="17">
        <v>1</v>
      </c>
      <c r="D59" s="12" t="s">
        <v>692</v>
      </c>
      <c r="E59" s="29" t="s">
        <v>723</v>
      </c>
      <c r="F59" s="49" t="str">
        <f>IF(Salidas[[#This Row],[Artículo (código)]]="","",VLOOKUP(Salidas[[#This Row],[Artículo (código)]],Existencias!A:D,4,FALSE))</f>
        <v>Pollo fresco entero</v>
      </c>
      <c r="G59" s="12">
        <v>4</v>
      </c>
      <c r="H59" s="12" t="e">
        <f>IF(Salidas[[#This Row],[Artículo (código)]]="","",VLOOKUP(Salidas[[#This Row],[Artículo (código)]],Existencias!A:F,7,FALSE))</f>
        <v>#REF!</v>
      </c>
    </row>
    <row r="60" spans="1:8" x14ac:dyDescent="0.3">
      <c r="A60" s="12"/>
      <c r="B60" s="13">
        <v>46032</v>
      </c>
      <c r="C60" s="17">
        <v>1</v>
      </c>
      <c r="D60" s="12" t="s">
        <v>692</v>
      </c>
      <c r="E60" s="29" t="s">
        <v>709</v>
      </c>
      <c r="F60" s="49" t="str">
        <f>IF(Salidas[[#This Row],[Artículo (código)]]="","",VLOOKUP(Salidas[[#This Row],[Artículo (código)]],Existencias!A:D,4,FALSE))</f>
        <v>Sal Mesa 1kg</v>
      </c>
      <c r="G60" s="12">
        <v>1</v>
      </c>
      <c r="H60" s="12" t="e">
        <f>IF(Salidas[[#This Row],[Artículo (código)]]="","",VLOOKUP(Salidas[[#This Row],[Artículo (código)]],Existencias!A:F,7,FALSE))</f>
        <v>#REF!</v>
      </c>
    </row>
    <row r="61" spans="1:8" x14ac:dyDescent="0.3">
      <c r="A61" s="12"/>
      <c r="B61" s="13">
        <v>46032</v>
      </c>
      <c r="C61" s="17">
        <v>1</v>
      </c>
      <c r="D61" s="12" t="s">
        <v>692</v>
      </c>
      <c r="E61" s="29" t="s">
        <v>919</v>
      </c>
      <c r="F61" s="49" t="str">
        <f>IF(Salidas[[#This Row],[Artículo (código)]]="","",VLOOKUP(Salidas[[#This Row],[Artículo (código)]],Existencias!A:D,4,FALSE))</f>
        <v>Fideos cortos 250 gr</v>
      </c>
      <c r="G61" s="12">
        <v>2</v>
      </c>
      <c r="H61" s="12" t="e">
        <f>IF(Salidas[[#This Row],[Artículo (código)]]="","",VLOOKUP(Salidas[[#This Row],[Artículo (código)]],Existencias!A:F,7,FALSE))</f>
        <v>#REF!</v>
      </c>
    </row>
    <row r="62" spans="1:8" x14ac:dyDescent="0.3">
      <c r="A62" s="12"/>
      <c r="B62" s="13">
        <v>46033</v>
      </c>
      <c r="C62" s="17">
        <v>1</v>
      </c>
      <c r="D62" s="12" t="s">
        <v>692</v>
      </c>
      <c r="E62" s="29" t="s">
        <v>788</v>
      </c>
      <c r="F62" s="49" t="str">
        <f>IF(Salidas[[#This Row],[Artículo (código)]]="","",VLOOKUP(Salidas[[#This Row],[Artículo (código)]],Existencias!A:D,4,FALSE))</f>
        <v>Avena  1 kl</v>
      </c>
      <c r="G62" s="12">
        <v>1</v>
      </c>
      <c r="H62" s="12" t="e">
        <f>IF(Salidas[[#This Row],[Artículo (código)]]="","",VLOOKUP(Salidas[[#This Row],[Artículo (código)]],Existencias!A:F,7,FALSE))</f>
        <v>#REF!</v>
      </c>
    </row>
    <row r="63" spans="1:8" x14ac:dyDescent="0.3">
      <c r="A63" s="12"/>
      <c r="B63" s="13">
        <v>46033</v>
      </c>
      <c r="C63" s="17">
        <v>1</v>
      </c>
      <c r="D63" s="12" t="s">
        <v>692</v>
      </c>
      <c r="E63" s="29" t="s">
        <v>989</v>
      </c>
      <c r="F63" s="49" t="str">
        <f>IF(Salidas[[#This Row],[Artículo (código)]]="","",VLOOKUP(Salidas[[#This Row],[Artículo (código)]],Existencias!A:D,4,FALSE))</f>
        <v>Huevo pardo</v>
      </c>
      <c r="G63" s="12">
        <v>35</v>
      </c>
      <c r="H63" s="12" t="e">
        <f>IF(Salidas[[#This Row],[Artículo (código)]]="","",VLOOKUP(Salidas[[#This Row],[Artículo (código)]],Existencias!A:F,7,FALSE))</f>
        <v>#REF!</v>
      </c>
    </row>
    <row r="64" spans="1:8" x14ac:dyDescent="0.3">
      <c r="A64" s="12"/>
      <c r="B64" s="13">
        <v>46033</v>
      </c>
      <c r="C64" s="17">
        <v>1</v>
      </c>
      <c r="D64" s="12" t="s">
        <v>692</v>
      </c>
      <c r="E64" s="29" t="s">
        <v>916</v>
      </c>
      <c r="F64" s="49" t="str">
        <f>IF(Salidas[[#This Row],[Artículo (código)]]="","",VLOOKUP(Salidas[[#This Row],[Artículo (código)]],Existencias!A:D,4,FALSE))</f>
        <v>Fideos largos 500 gr</v>
      </c>
      <c r="G64" s="12">
        <v>9</v>
      </c>
      <c r="H64" s="12" t="e">
        <f>IF(Salidas[[#This Row],[Artículo (código)]]="","",VLOOKUP(Salidas[[#This Row],[Artículo (código)]],Existencias!A:F,7,FALSE))</f>
        <v>#REF!</v>
      </c>
    </row>
    <row r="65" spans="1:8" x14ac:dyDescent="0.3">
      <c r="A65" s="12"/>
      <c r="B65" s="13">
        <v>46033</v>
      </c>
      <c r="C65" s="17">
        <v>1</v>
      </c>
      <c r="D65" s="12" t="s">
        <v>692</v>
      </c>
      <c r="E65" s="29" t="s">
        <v>723</v>
      </c>
      <c r="F65" s="49" t="str">
        <f>IF(Salidas[[#This Row],[Artículo (código)]]="","",VLOOKUP(Salidas[[#This Row],[Artículo (código)]],Existencias!A:D,4,FALSE))</f>
        <v>Pollo fresco entero</v>
      </c>
      <c r="G65" s="12">
        <v>5</v>
      </c>
      <c r="H65" s="12" t="e">
        <f>IF(Salidas[[#This Row],[Artículo (código)]]="","",VLOOKUP(Salidas[[#This Row],[Artículo (código)]],Existencias!A:F,7,FALSE))</f>
        <v>#REF!</v>
      </c>
    </row>
    <row r="66" spans="1:8" x14ac:dyDescent="0.3">
      <c r="A66" s="12"/>
      <c r="B66" s="13">
        <v>46033</v>
      </c>
      <c r="C66" s="17">
        <v>1</v>
      </c>
      <c r="D66" s="12" t="s">
        <v>692</v>
      </c>
      <c r="E66" s="29" t="s">
        <v>703</v>
      </c>
      <c r="F66" s="49" t="str">
        <f>IF(Salidas[[#This Row],[Artículo (código)]]="","",VLOOKUP(Salidas[[#This Row],[Artículo (código)]],Existencias!A:D,4,FALSE))</f>
        <v>Leche Evaporada  390 gr lata</v>
      </c>
      <c r="G66" s="12">
        <v>3</v>
      </c>
      <c r="H66" s="12" t="e">
        <f>IF(Salidas[[#This Row],[Artículo (código)]]="","",VLOOKUP(Salidas[[#This Row],[Artículo (código)]],Existencias!A:F,7,FALSE))</f>
        <v>#REF!</v>
      </c>
    </row>
    <row r="67" spans="1:8" x14ac:dyDescent="0.3">
      <c r="A67" s="12"/>
      <c r="B67" s="13">
        <v>46034</v>
      </c>
      <c r="C67" s="17">
        <v>1</v>
      </c>
      <c r="D67" s="12" t="s">
        <v>692</v>
      </c>
      <c r="E67" s="29" t="s">
        <v>788</v>
      </c>
      <c r="F67" s="49" t="str">
        <f>IF(Salidas[[#This Row],[Artículo (código)]]="","",VLOOKUP(Salidas[[#This Row],[Artículo (código)]],Existencias!A:D,4,FALSE))</f>
        <v>Avena  1 kl</v>
      </c>
      <c r="G67" s="12">
        <v>1</v>
      </c>
      <c r="H67" s="12" t="e">
        <f>IF(Salidas[[#This Row],[Artículo (código)]]="","",VLOOKUP(Salidas[[#This Row],[Artículo (código)]],Existencias!A:F,7,FALSE))</f>
        <v>#REF!</v>
      </c>
    </row>
    <row r="68" spans="1:8" x14ac:dyDescent="0.3">
      <c r="A68" s="12"/>
      <c r="B68" s="13">
        <v>46034</v>
      </c>
      <c r="C68" s="17">
        <v>1</v>
      </c>
      <c r="D68" s="12" t="s">
        <v>692</v>
      </c>
      <c r="E68" s="29" t="s">
        <v>989</v>
      </c>
      <c r="F68" s="49" t="str">
        <f>IF(Salidas[[#This Row],[Artículo (código)]]="","",VLOOKUP(Salidas[[#This Row],[Artículo (código)]],Existencias!A:D,4,FALSE))</f>
        <v>Huevo pardo</v>
      </c>
      <c r="G68" s="12">
        <v>35</v>
      </c>
      <c r="H68" s="12" t="e">
        <f>IF(Salidas[[#This Row],[Artículo (código)]]="","",VLOOKUP(Salidas[[#This Row],[Artículo (código)]],Existencias!A:F,7,FALSE))</f>
        <v>#REF!</v>
      </c>
    </row>
    <row r="69" spans="1:8" x14ac:dyDescent="0.3">
      <c r="A69" s="12"/>
      <c r="B69" s="13">
        <v>46034</v>
      </c>
      <c r="C69" s="17">
        <v>1</v>
      </c>
      <c r="D69" s="12" t="s">
        <v>692</v>
      </c>
      <c r="E69" s="29" t="s">
        <v>753</v>
      </c>
      <c r="F69" s="49" t="str">
        <f>IF(Salidas[[#This Row],[Artículo (código)]]="","",VLOOKUP(Salidas[[#This Row],[Artículo (código)]],Existencias!A:D,4,FALSE))</f>
        <v>Azucar rubia 1kg</v>
      </c>
      <c r="G69" s="12">
        <v>1</v>
      </c>
      <c r="H69" s="12" t="e">
        <f>IF(Salidas[[#This Row],[Artículo (código)]]="","",VLOOKUP(Salidas[[#This Row],[Artículo (código)]],Existencias!A:F,7,FALSE))</f>
        <v>#REF!</v>
      </c>
    </row>
    <row r="70" spans="1:8" x14ac:dyDescent="0.3">
      <c r="A70" s="12"/>
      <c r="B70" s="13">
        <v>46034</v>
      </c>
      <c r="C70" s="17">
        <v>1</v>
      </c>
      <c r="D70" s="12" t="s">
        <v>692</v>
      </c>
      <c r="E70" s="29" t="s">
        <v>800</v>
      </c>
      <c r="F70" s="49" t="str">
        <f>IF(Salidas[[#This Row],[Artículo (código)]]="","",VLOOKUP(Salidas[[#This Row],[Artículo (código)]],Existencias!A:D,4,FALSE))</f>
        <v xml:space="preserve">Arroz 5 kg </v>
      </c>
      <c r="G70" s="12">
        <v>1</v>
      </c>
      <c r="H70" s="12" t="e">
        <f>IF(Salidas[[#This Row],[Artículo (código)]]="","",VLOOKUP(Salidas[[#This Row],[Artículo (código)]],Existencias!A:F,7,FALSE))</f>
        <v>#REF!</v>
      </c>
    </row>
    <row r="71" spans="1:8" x14ac:dyDescent="0.3">
      <c r="A71" s="12"/>
      <c r="B71" s="13">
        <v>46034</v>
      </c>
      <c r="C71" s="17">
        <v>1</v>
      </c>
      <c r="D71" s="12" t="s">
        <v>692</v>
      </c>
      <c r="E71" s="29" t="s">
        <v>723</v>
      </c>
      <c r="F71" s="49" t="str">
        <f>IF(Salidas[[#This Row],[Artículo (código)]]="","",VLOOKUP(Salidas[[#This Row],[Artículo (código)]],Existencias!A:D,4,FALSE))</f>
        <v>Pollo fresco entero</v>
      </c>
      <c r="G71" s="12">
        <v>8</v>
      </c>
      <c r="H71" s="12" t="e">
        <f>IF(Salidas[[#This Row],[Artículo (código)]]="","",VLOOKUP(Salidas[[#This Row],[Artículo (código)]],Existencias!A:F,7,FALSE))</f>
        <v>#REF!</v>
      </c>
    </row>
    <row r="72" spans="1:8" x14ac:dyDescent="0.3">
      <c r="A72" s="12"/>
      <c r="B72" s="13">
        <v>46034</v>
      </c>
      <c r="C72" s="17">
        <v>1</v>
      </c>
      <c r="D72" s="12" t="s">
        <v>692</v>
      </c>
      <c r="E72" s="29" t="s">
        <v>923</v>
      </c>
      <c r="F72" s="49" t="e">
        <f>IF(Salidas[[#This Row],[Artículo (código)]]="","",VLOOKUP(Salidas[[#This Row],[Artículo (código)]],Existencias!A:D,4,FALSE))</f>
        <v>#N/A</v>
      </c>
      <c r="G72" s="12">
        <v>3</v>
      </c>
      <c r="H72" s="12" t="e">
        <f>IF(Salidas[[#This Row],[Artículo (código)]]="","",VLOOKUP(Salidas[[#This Row],[Artículo (código)]],Existencias!A:F,7,FALSE))</f>
        <v>#N/A</v>
      </c>
    </row>
    <row r="73" spans="1:8" x14ac:dyDescent="0.3">
      <c r="A73" s="12"/>
      <c r="B73" s="13">
        <v>46034</v>
      </c>
      <c r="C73" s="17">
        <v>1</v>
      </c>
      <c r="D73" s="12" t="s">
        <v>692</v>
      </c>
      <c r="E73" s="29" t="s">
        <v>694</v>
      </c>
      <c r="F73" s="49" t="str">
        <f>IF(Salidas[[#This Row],[Artículo (código)]]="","",VLOOKUP(Salidas[[#This Row],[Artículo (código)]],Existencias!A:D,4,FALSE))</f>
        <v>Aceite Vegetal 900 ml</v>
      </c>
      <c r="G73" s="12">
        <v>1</v>
      </c>
      <c r="H73" s="12" t="e">
        <f>IF(Salidas[[#This Row],[Artículo (código)]]="","",VLOOKUP(Salidas[[#This Row],[Artículo (código)]],Existencias!A:F,7,FALSE))</f>
        <v>#REF!</v>
      </c>
    </row>
    <row r="74" spans="1:8" x14ac:dyDescent="0.3">
      <c r="A74" s="12"/>
      <c r="B74" s="13">
        <v>46034</v>
      </c>
      <c r="C74" s="17">
        <v>1</v>
      </c>
      <c r="D74" s="12" t="s">
        <v>692</v>
      </c>
      <c r="E74" s="29" t="s">
        <v>949</v>
      </c>
      <c r="F74" s="49" t="str">
        <f>IF(Salidas[[#This Row],[Artículo (código)]]="","",VLOOKUP(Salidas[[#This Row],[Artículo (código)]],Existencias!A:D,4,FALSE))</f>
        <v>GELATINA 160 gr</v>
      </c>
      <c r="G74" s="12">
        <v>5</v>
      </c>
      <c r="H74" s="12" t="e">
        <f>IF(Salidas[[#This Row],[Artículo (código)]]="","",VLOOKUP(Salidas[[#This Row],[Artículo (código)]],Existencias!A:F,7,FALSE))</f>
        <v>#REF!</v>
      </c>
    </row>
    <row r="75" spans="1:8" x14ac:dyDescent="0.3">
      <c r="A75" s="12"/>
      <c r="B75" s="13">
        <v>46035</v>
      </c>
      <c r="C75" s="17">
        <v>1</v>
      </c>
      <c r="D75" s="12" t="s">
        <v>692</v>
      </c>
      <c r="E75" s="29" t="s">
        <v>788</v>
      </c>
      <c r="F75" s="49" t="str">
        <f>IF(Salidas[[#This Row],[Artículo (código)]]="","",VLOOKUP(Salidas[[#This Row],[Artículo (código)]],Existencias!A:D,4,FALSE))</f>
        <v>Avena  1 kl</v>
      </c>
      <c r="G75" s="12">
        <v>1</v>
      </c>
      <c r="H75" s="12" t="e">
        <f>IF(Salidas[[#This Row],[Artículo (código)]]="","",VLOOKUP(Salidas[[#This Row],[Artículo (código)]],Existencias!A:F,7,FALSE))</f>
        <v>#REF!</v>
      </c>
    </row>
    <row r="76" spans="1:8" x14ac:dyDescent="0.3">
      <c r="A76" s="12"/>
      <c r="B76" s="13">
        <v>46035</v>
      </c>
      <c r="C76" s="17">
        <v>1</v>
      </c>
      <c r="D76" s="12" t="s">
        <v>692</v>
      </c>
      <c r="E76" s="29" t="s">
        <v>753</v>
      </c>
      <c r="F76" s="49" t="str">
        <f>IF(Salidas[[#This Row],[Artículo (código)]]="","",VLOOKUP(Salidas[[#This Row],[Artículo (código)]],Existencias!A:D,4,FALSE))</f>
        <v>Azucar rubia 1kg</v>
      </c>
      <c r="G76" s="12">
        <v>1</v>
      </c>
      <c r="H76" s="12" t="e">
        <f>IF(Salidas[[#This Row],[Artículo (código)]]="","",VLOOKUP(Salidas[[#This Row],[Artículo (código)]],Existencias!A:F,7,FALSE))</f>
        <v>#REF!</v>
      </c>
    </row>
    <row r="77" spans="1:8" x14ac:dyDescent="0.3">
      <c r="A77" s="12"/>
      <c r="B77" s="13">
        <v>46035</v>
      </c>
      <c r="C77" s="17">
        <v>1</v>
      </c>
      <c r="D77" s="12" t="s">
        <v>692</v>
      </c>
      <c r="E77" s="29" t="s">
        <v>800</v>
      </c>
      <c r="F77" s="49" t="str">
        <f>IF(Salidas[[#This Row],[Artículo (código)]]="","",VLOOKUP(Salidas[[#This Row],[Artículo (código)]],Existencias!A:D,4,FALSE))</f>
        <v xml:space="preserve">Arroz 5 kg </v>
      </c>
      <c r="G77" s="12">
        <v>1</v>
      </c>
      <c r="H77" s="12" t="e">
        <f>IF(Salidas[[#This Row],[Artículo (código)]]="","",VLOOKUP(Salidas[[#This Row],[Artículo (código)]],Existencias!A:F,7,FALSE))</f>
        <v>#REF!</v>
      </c>
    </row>
    <row r="78" spans="1:8" x14ac:dyDescent="0.3">
      <c r="A78" s="12"/>
      <c r="B78" s="13">
        <v>46035</v>
      </c>
      <c r="C78" s="17">
        <v>1</v>
      </c>
      <c r="D78" s="12" t="s">
        <v>692</v>
      </c>
      <c r="E78" s="29" t="s">
        <v>989</v>
      </c>
      <c r="F78" s="49" t="str">
        <f>IF(Salidas[[#This Row],[Artículo (código)]]="","",VLOOKUP(Salidas[[#This Row],[Artículo (código)]],Existencias!A:D,4,FALSE))</f>
        <v>Huevo pardo</v>
      </c>
      <c r="G78" s="12">
        <v>45</v>
      </c>
      <c r="H78" s="12" t="e">
        <f>IF(Salidas[[#This Row],[Artículo (código)]]="","",VLOOKUP(Salidas[[#This Row],[Artículo (código)]],Existencias!A:F,7,FALSE))</f>
        <v>#REF!</v>
      </c>
    </row>
    <row r="79" spans="1:8" x14ac:dyDescent="0.3">
      <c r="A79" s="12"/>
      <c r="B79" s="13">
        <v>46035</v>
      </c>
      <c r="C79" s="17">
        <v>1</v>
      </c>
      <c r="D79" s="12" t="s">
        <v>692</v>
      </c>
      <c r="E79" s="29" t="s">
        <v>919</v>
      </c>
      <c r="F79" s="49" t="str">
        <f>IF(Salidas[[#This Row],[Artículo (código)]]="","",VLOOKUP(Salidas[[#This Row],[Artículo (código)]],Existencias!A:D,4,FALSE))</f>
        <v>Fideos cortos 250 gr</v>
      </c>
      <c r="G79" s="12">
        <v>4</v>
      </c>
      <c r="H79" s="12" t="e">
        <f>IF(Salidas[[#This Row],[Artículo (código)]]="","",VLOOKUP(Salidas[[#This Row],[Artículo (código)]],Existencias!A:F,7,FALSE))</f>
        <v>#REF!</v>
      </c>
    </row>
    <row r="80" spans="1:8" x14ac:dyDescent="0.3">
      <c r="A80" s="12"/>
      <c r="B80" s="13">
        <v>46036</v>
      </c>
      <c r="C80" s="17">
        <v>1</v>
      </c>
      <c r="D80" s="12" t="s">
        <v>692</v>
      </c>
      <c r="E80" s="29" t="s">
        <v>1227</v>
      </c>
      <c r="F80" s="49" t="str">
        <f>IF(Salidas[[#This Row],[Artículo (código)]]="","",VLOOKUP(Salidas[[#This Row],[Artículo (código)]],Existencias!A:D,4,FALSE))</f>
        <v>Quinua 1 kg</v>
      </c>
      <c r="G80" s="12">
        <v>1</v>
      </c>
      <c r="H80" s="12" t="e">
        <f>IF(Salidas[[#This Row],[Artículo (código)]]="","",VLOOKUP(Salidas[[#This Row],[Artículo (código)]],Existencias!A:F,7,FALSE))</f>
        <v>#REF!</v>
      </c>
    </row>
    <row r="81" spans="1:8" x14ac:dyDescent="0.3">
      <c r="A81" s="12"/>
      <c r="B81" s="13">
        <v>46036</v>
      </c>
      <c r="C81" s="17">
        <v>1</v>
      </c>
      <c r="D81" s="12" t="s">
        <v>692</v>
      </c>
      <c r="E81" s="29" t="s">
        <v>989</v>
      </c>
      <c r="F81" s="49" t="str">
        <f>IF(Salidas[[#This Row],[Artículo (código)]]="","",VLOOKUP(Salidas[[#This Row],[Artículo (código)]],Existencias!A:D,4,FALSE))</f>
        <v>Huevo pardo</v>
      </c>
      <c r="G81" s="12">
        <v>30</v>
      </c>
      <c r="H81" s="12" t="e">
        <f>IF(Salidas[[#This Row],[Artículo (código)]]="","",VLOOKUP(Salidas[[#This Row],[Artículo (código)]],Existencias!A:F,7,FALSE))</f>
        <v>#REF!</v>
      </c>
    </row>
    <row r="82" spans="1:8" x14ac:dyDescent="0.3">
      <c r="A82" s="12"/>
      <c r="B82" s="13">
        <v>46036</v>
      </c>
      <c r="C82" s="17">
        <v>1</v>
      </c>
      <c r="D82" s="12" t="s">
        <v>692</v>
      </c>
      <c r="E82" s="29" t="s">
        <v>753</v>
      </c>
      <c r="F82" s="49" t="str">
        <f>IF(Salidas[[#This Row],[Artículo (código)]]="","",VLOOKUP(Salidas[[#This Row],[Artículo (código)]],Existencias!A:D,4,FALSE))</f>
        <v>Azucar rubia 1kg</v>
      </c>
      <c r="G82" s="12">
        <v>1</v>
      </c>
      <c r="H82" s="12" t="e">
        <f>IF(Salidas[[#This Row],[Artículo (código)]]="","",VLOOKUP(Salidas[[#This Row],[Artículo (código)]],Existencias!A:F,7,FALSE))</f>
        <v>#REF!</v>
      </c>
    </row>
    <row r="83" spans="1:8" x14ac:dyDescent="0.3">
      <c r="A83" s="12"/>
      <c r="B83" s="13">
        <v>46036</v>
      </c>
      <c r="C83" s="17">
        <v>1</v>
      </c>
      <c r="D83" s="12" t="s">
        <v>692</v>
      </c>
      <c r="E83" s="29" t="s">
        <v>916</v>
      </c>
      <c r="F83" s="49" t="str">
        <f>IF(Salidas[[#This Row],[Artículo (código)]]="","",VLOOKUP(Salidas[[#This Row],[Artículo (código)]],Existencias!A:D,4,FALSE))</f>
        <v>Fideos largos 500 gr</v>
      </c>
      <c r="G83" s="12">
        <v>9</v>
      </c>
      <c r="H83" s="12" t="e">
        <f>IF(Salidas[[#This Row],[Artículo (código)]]="","",VLOOKUP(Salidas[[#This Row],[Artículo (código)]],Existencias!A:F,7,FALSE))</f>
        <v>#REF!</v>
      </c>
    </row>
    <row r="84" spans="1:8" x14ac:dyDescent="0.3">
      <c r="A84" s="12"/>
      <c r="B84" s="13">
        <v>46036</v>
      </c>
      <c r="C84" s="17">
        <v>1</v>
      </c>
      <c r="D84" s="12" t="s">
        <v>692</v>
      </c>
      <c r="E84" s="29" t="s">
        <v>723</v>
      </c>
      <c r="F84" s="49" t="str">
        <f>IF(Salidas[[#This Row],[Artículo (código)]]="","",VLOOKUP(Salidas[[#This Row],[Artículo (código)]],Existencias!A:D,4,FALSE))</f>
        <v>Pollo fresco entero</v>
      </c>
      <c r="G84" s="12">
        <v>3</v>
      </c>
      <c r="H84" s="12" t="e">
        <f>IF(Salidas[[#This Row],[Artículo (código)]]="","",VLOOKUP(Salidas[[#This Row],[Artículo (código)]],Existencias!A:F,7,FALSE))</f>
        <v>#REF!</v>
      </c>
    </row>
    <row r="85" spans="1:8" x14ac:dyDescent="0.3">
      <c r="A85" s="12"/>
      <c r="B85" s="13">
        <v>46036</v>
      </c>
      <c r="C85" s="17">
        <v>1</v>
      </c>
      <c r="D85" s="12" t="s">
        <v>692</v>
      </c>
      <c r="E85" s="29" t="s">
        <v>694</v>
      </c>
      <c r="F85" s="49" t="str">
        <f>IF(Salidas[[#This Row],[Artículo (código)]]="","",VLOOKUP(Salidas[[#This Row],[Artículo (código)]],Existencias!A:D,4,FALSE))</f>
        <v>Aceite Vegetal 900 ml</v>
      </c>
      <c r="G85" s="12">
        <v>1</v>
      </c>
      <c r="H85" s="12" t="e">
        <f>IF(Salidas[[#This Row],[Artículo (código)]]="","",VLOOKUP(Salidas[[#This Row],[Artículo (código)]],Existencias!A:F,7,FALSE))</f>
        <v>#REF!</v>
      </c>
    </row>
    <row r="86" spans="1:8" x14ac:dyDescent="0.3">
      <c r="A86" s="12"/>
      <c r="B86" s="13">
        <v>46036</v>
      </c>
      <c r="C86" s="17">
        <v>1</v>
      </c>
      <c r="D86" s="12" t="s">
        <v>692</v>
      </c>
      <c r="E86" s="29" t="s">
        <v>755</v>
      </c>
      <c r="F86" s="49" t="str">
        <f>IF(Salidas[[#This Row],[Artículo (código)]]="","",VLOOKUP(Salidas[[#This Row],[Artículo (código)]],Existencias!A:D,4,FALSE))</f>
        <v>Azucar rubia 5 kg</v>
      </c>
      <c r="G86" s="12">
        <v>1</v>
      </c>
      <c r="H86" s="12" t="e">
        <f>IF(Salidas[[#This Row],[Artículo (código)]]="","",VLOOKUP(Salidas[[#This Row],[Artículo (código)]],Existencias!A:F,7,FALSE))</f>
        <v>#REF!</v>
      </c>
    </row>
    <row r="87" spans="1:8" x14ac:dyDescent="0.3">
      <c r="A87" s="12"/>
      <c r="B87" s="13">
        <v>46036</v>
      </c>
      <c r="C87" s="17">
        <v>1</v>
      </c>
      <c r="D87" s="12" t="s">
        <v>692</v>
      </c>
      <c r="E87" s="29" t="s">
        <v>828</v>
      </c>
      <c r="F87" s="49" t="str">
        <f>IF(Salidas[[#This Row],[Artículo (código)]]="","",VLOOKUP(Salidas[[#This Row],[Artículo (código)]],Existencias!A:D,4,FALSE))</f>
        <v xml:space="preserve">Canela molida </v>
      </c>
      <c r="G87" s="12">
        <v>0.25</v>
      </c>
      <c r="H87" s="12" t="e">
        <f>IF(Salidas[[#This Row],[Artículo (código)]]="","",VLOOKUP(Salidas[[#This Row],[Artículo (código)]],Existencias!A:F,7,FALSE))</f>
        <v>#REF!</v>
      </c>
    </row>
    <row r="88" spans="1:8" x14ac:dyDescent="0.3">
      <c r="A88" s="12"/>
      <c r="B88" s="13">
        <v>46036</v>
      </c>
      <c r="C88" s="17">
        <v>1</v>
      </c>
      <c r="D88" s="12" t="s">
        <v>692</v>
      </c>
      <c r="E88" s="29" t="s">
        <v>1207</v>
      </c>
      <c r="F88" s="49" t="str">
        <f>IF(Salidas[[#This Row],[Artículo (código)]]="","",VLOOKUP(Salidas[[#This Row],[Artículo (código)]],Existencias!A:D,4,FALSE))</f>
        <v>Moron 500 gr</v>
      </c>
      <c r="G88" s="12">
        <v>0.5</v>
      </c>
      <c r="H88" s="12" t="e">
        <f>IF(Salidas[[#This Row],[Artículo (código)]]="","",VLOOKUP(Salidas[[#This Row],[Artículo (código)]],Existencias!A:F,7,FALSE))</f>
        <v>#REF!</v>
      </c>
    </row>
    <row r="89" spans="1:8" x14ac:dyDescent="0.3">
      <c r="A89" s="12"/>
      <c r="B89" s="13">
        <v>46037</v>
      </c>
      <c r="C89" s="17">
        <v>1</v>
      </c>
      <c r="D89" s="12" t="s">
        <v>692</v>
      </c>
      <c r="E89" s="29" t="s">
        <v>788</v>
      </c>
      <c r="F89" s="49" t="str">
        <f>IF(Salidas[[#This Row],[Artículo (código)]]="","",VLOOKUP(Salidas[[#This Row],[Artículo (código)]],Existencias!A:D,4,FALSE))</f>
        <v>Avena  1 kl</v>
      </c>
      <c r="G89" s="12">
        <v>1</v>
      </c>
      <c r="H89" s="12" t="e">
        <f>IF(Salidas[[#This Row],[Artículo (código)]]="","",VLOOKUP(Salidas[[#This Row],[Artículo (código)]],Existencias!A:F,7,FALSE))</f>
        <v>#REF!</v>
      </c>
    </row>
    <row r="90" spans="1:8" x14ac:dyDescent="0.3">
      <c r="A90" s="12"/>
      <c r="B90" s="13">
        <v>46037</v>
      </c>
      <c r="C90" s="17">
        <v>1</v>
      </c>
      <c r="D90" s="12" t="s">
        <v>692</v>
      </c>
      <c r="E90" s="29" t="s">
        <v>753</v>
      </c>
      <c r="F90" s="49" t="str">
        <f>IF(Salidas[[#This Row],[Artículo (código)]]="","",VLOOKUP(Salidas[[#This Row],[Artículo (código)]],Existencias!A:D,4,FALSE))</f>
        <v>Azucar rubia 1kg</v>
      </c>
      <c r="G90" s="12">
        <v>1</v>
      </c>
      <c r="H90" s="12" t="e">
        <f>IF(Salidas[[#This Row],[Artículo (código)]]="","",VLOOKUP(Salidas[[#This Row],[Artículo (código)]],Existencias!A:F,7,FALSE))</f>
        <v>#REF!</v>
      </c>
    </row>
    <row r="91" spans="1:8" x14ac:dyDescent="0.3">
      <c r="A91" s="12"/>
      <c r="B91" s="13">
        <v>46037</v>
      </c>
      <c r="C91" s="17">
        <v>1</v>
      </c>
      <c r="D91" s="12" t="s">
        <v>692</v>
      </c>
      <c r="E91" s="29" t="s">
        <v>800</v>
      </c>
      <c r="F91" s="49" t="str">
        <f>IF(Salidas[[#This Row],[Artículo (código)]]="","",VLOOKUP(Salidas[[#This Row],[Artículo (código)]],Existencias!A:D,4,FALSE))</f>
        <v xml:space="preserve">Arroz 5 kg </v>
      </c>
      <c r="G91" s="12">
        <v>1</v>
      </c>
      <c r="H91" s="12" t="e">
        <f>IF(Salidas[[#This Row],[Artículo (código)]]="","",VLOOKUP(Salidas[[#This Row],[Artículo (código)]],Existencias!A:F,7,FALSE))</f>
        <v>#REF!</v>
      </c>
    </row>
    <row r="92" spans="1:8" x14ac:dyDescent="0.3">
      <c r="A92" s="12"/>
      <c r="B92" s="13">
        <v>46037</v>
      </c>
      <c r="C92" s="17">
        <v>1</v>
      </c>
      <c r="D92" s="12" t="s">
        <v>692</v>
      </c>
      <c r="E92" s="29" t="s">
        <v>723</v>
      </c>
      <c r="F92" s="49" t="str">
        <f>IF(Salidas[[#This Row],[Artículo (código)]]="","",VLOOKUP(Salidas[[#This Row],[Artículo (código)]],Existencias!A:D,4,FALSE))</f>
        <v>Pollo fresco entero</v>
      </c>
      <c r="G92" s="12">
        <v>3</v>
      </c>
      <c r="H92" s="12" t="e">
        <f>IF(Salidas[[#This Row],[Artículo (código)]]="","",VLOOKUP(Salidas[[#This Row],[Artículo (código)]],Existencias!A:F,7,FALSE))</f>
        <v>#REF!</v>
      </c>
    </row>
    <row r="93" spans="1:8" x14ac:dyDescent="0.3">
      <c r="A93" s="12"/>
      <c r="B93" s="13">
        <v>46037</v>
      </c>
      <c r="C93" s="17">
        <v>1</v>
      </c>
      <c r="D93" s="12" t="s">
        <v>692</v>
      </c>
      <c r="E93" s="29" t="s">
        <v>1304</v>
      </c>
      <c r="F93" s="49" t="str">
        <f>IF(Salidas[[#This Row],[Artículo (código)]]="","",VLOOKUP(Salidas[[#This Row],[Artículo (código)]],Existencias!A:D,4,FALSE))</f>
        <v>Guiso</v>
      </c>
      <c r="G93" s="12">
        <v>3</v>
      </c>
      <c r="H93" s="12" t="e">
        <f>IF(Salidas[[#This Row],[Artículo (código)]]="","",VLOOKUP(Salidas[[#This Row],[Artículo (código)]],Existencias!A:F,7,FALSE))</f>
        <v>#REF!</v>
      </c>
    </row>
    <row r="94" spans="1:8" x14ac:dyDescent="0.3">
      <c r="A94" s="12"/>
      <c r="B94" s="13">
        <v>46037</v>
      </c>
      <c r="C94" s="17">
        <v>1</v>
      </c>
      <c r="D94" s="12" t="s">
        <v>692</v>
      </c>
      <c r="E94" s="29" t="s">
        <v>694</v>
      </c>
      <c r="F94" s="49" t="str">
        <f>IF(Salidas[[#This Row],[Artículo (código)]]="","",VLOOKUP(Salidas[[#This Row],[Artículo (código)]],Existencias!A:D,4,FALSE))</f>
        <v>Aceite Vegetal 900 ml</v>
      </c>
      <c r="G94" s="12">
        <v>1</v>
      </c>
      <c r="H94" s="12" t="e">
        <f>IF(Salidas[[#This Row],[Artículo (código)]]="","",VLOOKUP(Salidas[[#This Row],[Artículo (código)]],Existencias!A:F,7,FALSE))</f>
        <v>#REF!</v>
      </c>
    </row>
    <row r="95" spans="1:8" x14ac:dyDescent="0.3">
      <c r="A95" s="12"/>
      <c r="B95" s="13">
        <v>46037</v>
      </c>
      <c r="C95" s="17">
        <v>1</v>
      </c>
      <c r="D95" s="12" t="s">
        <v>692</v>
      </c>
      <c r="E95" s="29" t="s">
        <v>709</v>
      </c>
      <c r="F95" s="49" t="str">
        <f>IF(Salidas[[#This Row],[Artículo (código)]]="","",VLOOKUP(Salidas[[#This Row],[Artículo (código)]],Existencias!A:D,4,FALSE))</f>
        <v>Sal Mesa 1kg</v>
      </c>
      <c r="G95" s="12">
        <v>1</v>
      </c>
      <c r="H95" s="12" t="e">
        <f>IF(Salidas[[#This Row],[Artículo (código)]]="","",VLOOKUP(Salidas[[#This Row],[Artículo (código)]],Existencias!A:F,7,FALSE))</f>
        <v>#REF!</v>
      </c>
    </row>
    <row r="96" spans="1:8" x14ac:dyDescent="0.3">
      <c r="A96" s="12"/>
      <c r="B96" s="13">
        <v>46037</v>
      </c>
      <c r="C96" s="17">
        <v>1</v>
      </c>
      <c r="D96" s="12" t="s">
        <v>692</v>
      </c>
      <c r="E96" s="29" t="s">
        <v>1246</v>
      </c>
      <c r="F96" s="49" t="str">
        <f>IF(Salidas[[#This Row],[Artículo (código)]]="","",VLOOKUP(Salidas[[#This Row],[Artículo (código)]],Existencias!A:D,4,FALSE))</f>
        <v>Semola 200 gr</v>
      </c>
      <c r="G96" s="12">
        <v>2</v>
      </c>
      <c r="H96" s="12" t="e">
        <f>IF(Salidas[[#This Row],[Artículo (código)]]="","",VLOOKUP(Salidas[[#This Row],[Artículo (código)]],Existencias!A:F,7,FALSE))</f>
        <v>#REF!</v>
      </c>
    </row>
    <row r="97" spans="1:8" x14ac:dyDescent="0.3">
      <c r="A97" s="12"/>
      <c r="B97" s="13">
        <v>46037</v>
      </c>
      <c r="C97" s="17">
        <v>1</v>
      </c>
      <c r="D97" s="12" t="s">
        <v>692</v>
      </c>
      <c r="E97" s="29" t="s">
        <v>847</v>
      </c>
      <c r="F97" s="49" t="str">
        <f>IF(Salidas[[#This Row],[Artículo (código)]]="","",VLOOKUP(Salidas[[#This Row],[Artículo (código)]],Existencias!A:D,4,FALSE))</f>
        <v>Salsa de tomate 290 gr</v>
      </c>
      <c r="G97" s="12">
        <v>1</v>
      </c>
      <c r="H97" s="12" t="e">
        <f>IF(Salidas[[#This Row],[Artículo (código)]]="","",VLOOKUP(Salidas[[#This Row],[Artículo (código)]],Existencias!A:F,7,FALSE))</f>
        <v>#REF!</v>
      </c>
    </row>
    <row r="98" spans="1:8" x14ac:dyDescent="0.3">
      <c r="A98" s="12"/>
      <c r="B98" s="13">
        <v>45673</v>
      </c>
      <c r="C98" s="17">
        <v>1</v>
      </c>
      <c r="D98" s="12" t="s">
        <v>692</v>
      </c>
      <c r="E98" s="29" t="s">
        <v>788</v>
      </c>
      <c r="F98" s="49" t="str">
        <f>IF(Salidas[[#This Row],[Artículo (código)]]="","",VLOOKUP(Salidas[[#This Row],[Artículo (código)]],Existencias!A:D,4,FALSE))</f>
        <v>Avena  1 kl</v>
      </c>
      <c r="G98" s="12">
        <v>1</v>
      </c>
      <c r="H98" s="12" t="e">
        <f>IF(Salidas[[#This Row],[Artículo (código)]]="","",VLOOKUP(Salidas[[#This Row],[Artículo (código)]],Existencias!A:F,7,FALSE))</f>
        <v>#REF!</v>
      </c>
    </row>
    <row r="99" spans="1:8" x14ac:dyDescent="0.3">
      <c r="A99" s="12"/>
      <c r="B99" s="13">
        <v>45673</v>
      </c>
      <c r="C99" s="17">
        <v>1</v>
      </c>
      <c r="D99" s="12" t="s">
        <v>692</v>
      </c>
      <c r="E99" s="29" t="s">
        <v>970</v>
      </c>
      <c r="F99" s="49" t="str">
        <f>IF(Salidas[[#This Row],[Artículo (código)]]="","",VLOOKUP(Salidas[[#This Row],[Artículo (código)]],Existencias!A:D,4,FALSE))</f>
        <v>Harina de linaza 200 gr</v>
      </c>
      <c r="G99" s="12">
        <v>1</v>
      </c>
      <c r="H99" s="12" t="e">
        <f>IF(Salidas[[#This Row],[Artículo (código)]]="","",VLOOKUP(Salidas[[#This Row],[Artículo (código)]],Existencias!A:F,7,FALSE))</f>
        <v>#REF!</v>
      </c>
    </row>
    <row r="100" spans="1:8" x14ac:dyDescent="0.3">
      <c r="A100" s="12"/>
      <c r="B100" s="13">
        <v>45673</v>
      </c>
      <c r="C100" s="17">
        <v>1</v>
      </c>
      <c r="D100" s="12" t="s">
        <v>692</v>
      </c>
      <c r="E100" s="29" t="s">
        <v>989</v>
      </c>
      <c r="F100" s="49" t="str">
        <f>IF(Salidas[[#This Row],[Artículo (código)]]="","",VLOOKUP(Salidas[[#This Row],[Artículo (código)]],Existencias!A:D,4,FALSE))</f>
        <v>Huevo pardo</v>
      </c>
      <c r="G100" s="12">
        <v>35</v>
      </c>
      <c r="H100" s="12" t="e">
        <f>IF(Salidas[[#This Row],[Artículo (código)]]="","",VLOOKUP(Salidas[[#This Row],[Artículo (código)]],Existencias!A:F,7,FALSE))</f>
        <v>#REF!</v>
      </c>
    </row>
    <row r="101" spans="1:8" x14ac:dyDescent="0.3">
      <c r="A101" s="12"/>
      <c r="B101" s="13">
        <v>45673</v>
      </c>
      <c r="C101" s="17">
        <v>1</v>
      </c>
      <c r="D101" s="12" t="s">
        <v>692</v>
      </c>
      <c r="E101" s="29" t="s">
        <v>723</v>
      </c>
      <c r="F101" s="49" t="str">
        <f>IF(Salidas[[#This Row],[Artículo (código)]]="","",VLOOKUP(Salidas[[#This Row],[Artículo (código)]],Existencias!A:D,4,FALSE))</f>
        <v>Pollo fresco entero</v>
      </c>
      <c r="G101" s="12">
        <v>7</v>
      </c>
      <c r="H101" s="12" t="e">
        <f>IF(Salidas[[#This Row],[Artículo (código)]]="","",VLOOKUP(Salidas[[#This Row],[Artículo (código)]],Existencias!A:F,7,FALSE))</f>
        <v>#REF!</v>
      </c>
    </row>
    <row r="102" spans="1:8" x14ac:dyDescent="0.3">
      <c r="A102" s="12"/>
      <c r="B102" s="13">
        <v>45673</v>
      </c>
      <c r="C102" s="17">
        <v>1</v>
      </c>
      <c r="D102" s="12" t="s">
        <v>692</v>
      </c>
      <c r="E102" s="29" t="s">
        <v>800</v>
      </c>
      <c r="F102" s="49" t="str">
        <f>IF(Salidas[[#This Row],[Artículo (código)]]="","",VLOOKUP(Salidas[[#This Row],[Artículo (código)]],Existencias!A:D,4,FALSE))</f>
        <v xml:space="preserve">Arroz 5 kg </v>
      </c>
      <c r="G102" s="12">
        <v>1</v>
      </c>
      <c r="H102" s="12" t="e">
        <f>IF(Salidas[[#This Row],[Artículo (código)]]="","",VLOOKUP(Salidas[[#This Row],[Artículo (código)]],Existencias!A:F,7,FALSE))</f>
        <v>#REF!</v>
      </c>
    </row>
    <row r="103" spans="1:8" x14ac:dyDescent="0.3">
      <c r="A103" s="12"/>
      <c r="B103" s="13">
        <v>45673</v>
      </c>
      <c r="C103" s="17">
        <v>1</v>
      </c>
      <c r="D103" s="12" t="s">
        <v>692</v>
      </c>
      <c r="E103" s="29" t="s">
        <v>694</v>
      </c>
      <c r="F103" s="49" t="str">
        <f>IF(Salidas[[#This Row],[Artículo (código)]]="","",VLOOKUP(Salidas[[#This Row],[Artículo (código)]],Existencias!A:D,4,FALSE))</f>
        <v>Aceite Vegetal 900 ml</v>
      </c>
      <c r="G103" s="12">
        <v>1</v>
      </c>
      <c r="H103" s="12" t="e">
        <f>IF(Salidas[[#This Row],[Artículo (código)]]="","",VLOOKUP(Salidas[[#This Row],[Artículo (código)]],Existencias!A:F,7,FALSE))</f>
        <v>#REF!</v>
      </c>
    </row>
    <row r="104" spans="1:8" x14ac:dyDescent="0.3">
      <c r="A104" s="12"/>
      <c r="B104" s="13">
        <v>45674</v>
      </c>
      <c r="C104" s="17">
        <v>1</v>
      </c>
      <c r="D104" s="12" t="s">
        <v>692</v>
      </c>
      <c r="E104" s="29" t="s">
        <v>788</v>
      </c>
      <c r="F104" s="49" t="str">
        <f>IF(Salidas[[#This Row],[Artículo (código)]]="","",VLOOKUP(Salidas[[#This Row],[Artículo (código)]],Existencias!A:D,4,FALSE))</f>
        <v>Avena  1 kl</v>
      </c>
      <c r="G104" s="12">
        <v>1</v>
      </c>
      <c r="H104" s="12" t="e">
        <f>IF(Salidas[[#This Row],[Artículo (código)]]="","",VLOOKUP(Salidas[[#This Row],[Artículo (código)]],Existencias!A:F,7,FALSE))</f>
        <v>#REF!</v>
      </c>
    </row>
    <row r="105" spans="1:8" x14ac:dyDescent="0.3">
      <c r="A105" s="12"/>
      <c r="B105" s="13">
        <v>45674</v>
      </c>
      <c r="C105" s="17">
        <v>1</v>
      </c>
      <c r="D105" s="12" t="s">
        <v>692</v>
      </c>
      <c r="E105" s="29" t="s">
        <v>989</v>
      </c>
      <c r="F105" s="49" t="str">
        <f>IF(Salidas[[#This Row],[Artículo (código)]]="","",VLOOKUP(Salidas[[#This Row],[Artículo (código)]],Existencias!A:D,4,FALSE))</f>
        <v>Huevo pardo</v>
      </c>
      <c r="G105" s="12">
        <v>55</v>
      </c>
      <c r="H105" s="12" t="e">
        <f>IF(Salidas[[#This Row],[Artículo (código)]]="","",VLOOKUP(Salidas[[#This Row],[Artículo (código)]],Existencias!A:F,7,FALSE))</f>
        <v>#REF!</v>
      </c>
    </row>
    <row r="106" spans="1:8" x14ac:dyDescent="0.3">
      <c r="A106" s="12"/>
      <c r="B106" s="13">
        <v>45674</v>
      </c>
      <c r="C106" s="17">
        <v>1</v>
      </c>
      <c r="D106" s="12" t="s">
        <v>692</v>
      </c>
      <c r="E106" s="29" t="s">
        <v>703</v>
      </c>
      <c r="F106" s="49" t="str">
        <f>IF(Salidas[[#This Row],[Artículo (código)]]="","",VLOOKUP(Salidas[[#This Row],[Artículo (código)]],Existencias!A:D,4,FALSE))</f>
        <v>Leche Evaporada  390 gr lata</v>
      </c>
      <c r="G106" s="12">
        <v>6</v>
      </c>
      <c r="H106" s="12" t="e">
        <f>IF(Salidas[[#This Row],[Artículo (código)]]="","",VLOOKUP(Salidas[[#This Row],[Artículo (código)]],Existencias!A:F,7,FALSE))</f>
        <v>#REF!</v>
      </c>
    </row>
    <row r="107" spans="1:8" x14ac:dyDescent="0.3">
      <c r="A107" s="12"/>
      <c r="B107" s="13">
        <v>45674</v>
      </c>
      <c r="C107" s="17">
        <v>1</v>
      </c>
      <c r="D107" s="12" t="s">
        <v>692</v>
      </c>
      <c r="E107" s="29" t="s">
        <v>800</v>
      </c>
      <c r="F107" s="49" t="str">
        <f>IF(Salidas[[#This Row],[Artículo (código)]]="","",VLOOKUP(Salidas[[#This Row],[Artículo (código)]],Existencias!A:D,4,FALSE))</f>
        <v xml:space="preserve">Arroz 5 kg </v>
      </c>
      <c r="G107" s="12">
        <v>1</v>
      </c>
      <c r="H107" s="12" t="e">
        <f>IF(Salidas[[#This Row],[Artículo (código)]]="","",VLOOKUP(Salidas[[#This Row],[Artículo (código)]],Existencias!A:F,7,FALSE))</f>
        <v>#REF!</v>
      </c>
    </row>
    <row r="108" spans="1:8" x14ac:dyDescent="0.3">
      <c r="A108" s="12"/>
      <c r="B108" s="13">
        <v>45674</v>
      </c>
      <c r="C108" s="17">
        <v>1</v>
      </c>
      <c r="D108" s="12" t="s">
        <v>692</v>
      </c>
      <c r="E108" s="29" t="s">
        <v>1270</v>
      </c>
      <c r="F108" s="49" t="str">
        <f>IF(Salidas[[#This Row],[Artículo (código)]]="","",VLOOKUP(Salidas[[#This Row],[Artículo (código)]],Existencias!A:D,4,FALSE))</f>
        <v>Filete de tilapa x 1kg (01 caja x10 kg)</v>
      </c>
      <c r="G108" s="12">
        <v>7</v>
      </c>
      <c r="H108" s="12" t="e">
        <f>IF(Salidas[[#This Row],[Artículo (código)]]="","",VLOOKUP(Salidas[[#This Row],[Artículo (código)]],Existencias!A:F,7,FALSE))</f>
        <v>#REF!</v>
      </c>
    </row>
    <row r="109" spans="1:8" x14ac:dyDescent="0.3">
      <c r="A109" s="12"/>
      <c r="B109" s="13">
        <v>45674</v>
      </c>
      <c r="C109" s="17">
        <v>1</v>
      </c>
      <c r="D109" s="12" t="s">
        <v>692</v>
      </c>
      <c r="E109" s="29" t="s">
        <v>753</v>
      </c>
      <c r="F109" s="49" t="str">
        <f>IF(Salidas[[#This Row],[Artículo (código)]]="","",VLOOKUP(Salidas[[#This Row],[Artículo (código)]],Existencias!A:D,4,FALSE))</f>
        <v>Azucar rubia 1kg</v>
      </c>
      <c r="G109" s="12">
        <v>1</v>
      </c>
      <c r="H109" s="12" t="e">
        <f>IF(Salidas[[#This Row],[Artículo (código)]]="","",VLOOKUP(Salidas[[#This Row],[Artículo (código)]],Existencias!A:F,7,FALSE))</f>
        <v>#REF!</v>
      </c>
    </row>
    <row r="110" spans="1:8" x14ac:dyDescent="0.3">
      <c r="A110" s="12"/>
      <c r="B110" s="13">
        <v>45674</v>
      </c>
      <c r="C110" s="17">
        <v>1</v>
      </c>
      <c r="D110" s="12" t="s">
        <v>692</v>
      </c>
      <c r="E110" s="29" t="s">
        <v>847</v>
      </c>
      <c r="F110" s="49" t="str">
        <f>IF(Salidas[[#This Row],[Artículo (código)]]="","",VLOOKUP(Salidas[[#This Row],[Artículo (código)]],Existencias!A:D,4,FALSE))</f>
        <v>Salsa de tomate 290 gr</v>
      </c>
      <c r="G110" s="12">
        <v>1</v>
      </c>
      <c r="H110" s="12" t="e">
        <f>IF(Salidas[[#This Row],[Artículo (código)]]="","",VLOOKUP(Salidas[[#This Row],[Artículo (código)]],Existencias!A:F,7,FALSE))</f>
        <v>#REF!</v>
      </c>
    </row>
    <row r="111" spans="1:8" x14ac:dyDescent="0.3">
      <c r="A111" s="12"/>
      <c r="B111" s="13">
        <v>45675</v>
      </c>
      <c r="C111" s="17">
        <v>1</v>
      </c>
      <c r="D111" s="12" t="s">
        <v>692</v>
      </c>
      <c r="E111" s="29" t="s">
        <v>788</v>
      </c>
      <c r="F111" s="49" t="str">
        <f>IF(Salidas[[#This Row],[Artículo (código)]]="","",VLOOKUP(Salidas[[#This Row],[Artículo (código)]],Existencias!A:D,4,FALSE))</f>
        <v>Avena  1 kl</v>
      </c>
      <c r="G111" s="12">
        <v>1</v>
      </c>
      <c r="H111" s="12" t="e">
        <f>IF(Salidas[[#This Row],[Artículo (código)]]="","",VLOOKUP(Salidas[[#This Row],[Artículo (código)]],Existencias!A:F,7,FALSE))</f>
        <v>#REF!</v>
      </c>
    </row>
    <row r="112" spans="1:8" x14ac:dyDescent="0.3">
      <c r="A112" s="12"/>
      <c r="B112" s="13">
        <v>45675</v>
      </c>
      <c r="C112" s="17">
        <v>1</v>
      </c>
      <c r="D112" s="12" t="s">
        <v>692</v>
      </c>
      <c r="E112" s="29" t="s">
        <v>916</v>
      </c>
      <c r="F112" s="49" t="str">
        <f>IF(Salidas[[#This Row],[Artículo (código)]]="","",VLOOKUP(Salidas[[#This Row],[Artículo (código)]],Existencias!A:D,4,FALSE))</f>
        <v>Fideos largos 500 gr</v>
      </c>
      <c r="G112" s="12">
        <v>3</v>
      </c>
      <c r="H112" s="12" t="e">
        <f>IF(Salidas[[#This Row],[Artículo (código)]]="","",VLOOKUP(Salidas[[#This Row],[Artículo (código)]],Existencias!A:F,7,FALSE))</f>
        <v>#REF!</v>
      </c>
    </row>
    <row r="113" spans="1:8" x14ac:dyDescent="0.3">
      <c r="A113" s="12"/>
      <c r="B113" s="13">
        <v>45675</v>
      </c>
      <c r="C113" s="17">
        <v>1</v>
      </c>
      <c r="D113" s="12" t="s">
        <v>692</v>
      </c>
      <c r="E113" s="29" t="s">
        <v>800</v>
      </c>
      <c r="F113" s="49" t="str">
        <f>IF(Salidas[[#This Row],[Artículo (código)]]="","",VLOOKUP(Salidas[[#This Row],[Artículo (código)]],Existencias!A:D,4,FALSE))</f>
        <v xml:space="preserve">Arroz 5 kg </v>
      </c>
      <c r="G113" s="12">
        <v>1</v>
      </c>
      <c r="H113" s="12" t="e">
        <f>IF(Salidas[[#This Row],[Artículo (código)]]="","",VLOOKUP(Salidas[[#This Row],[Artículo (código)]],Existencias!A:F,7,FALSE))</f>
        <v>#REF!</v>
      </c>
    </row>
    <row r="114" spans="1:8" x14ac:dyDescent="0.3">
      <c r="A114" s="12"/>
      <c r="B114" s="13">
        <v>45675</v>
      </c>
      <c r="C114" s="17">
        <v>1</v>
      </c>
      <c r="D114" s="12" t="s">
        <v>692</v>
      </c>
      <c r="E114" s="29" t="s">
        <v>879</v>
      </c>
      <c r="F114" s="49" t="str">
        <f>IF(Salidas[[#This Row],[Artículo (código)]]="","",VLOOKUP(Salidas[[#This Row],[Artículo (código)]],Existencias!A:D,4,FALSE))</f>
        <v>Curcuma 500</v>
      </c>
      <c r="G114" s="12">
        <v>1</v>
      </c>
      <c r="H114" s="12" t="e">
        <f>IF(Salidas[[#This Row],[Artículo (código)]]="","",VLOOKUP(Salidas[[#This Row],[Artículo (código)]],Existencias!A:F,7,FALSE))</f>
        <v>#REF!</v>
      </c>
    </row>
    <row r="115" spans="1:8" x14ac:dyDescent="0.3">
      <c r="A115" s="12"/>
      <c r="B115" s="13">
        <v>45675</v>
      </c>
      <c r="C115" s="17">
        <v>1</v>
      </c>
      <c r="D115" s="12" t="s">
        <v>692</v>
      </c>
      <c r="E115" s="47" t="s">
        <v>709</v>
      </c>
      <c r="F115" s="49" t="str">
        <f>IF(Salidas[[#This Row],[Artículo (código)]]="","",VLOOKUP(Salidas[[#This Row],[Artículo (código)]],Existencias!A:D,4,FALSE))</f>
        <v>Sal Mesa 1kg</v>
      </c>
      <c r="G115" s="12">
        <v>1</v>
      </c>
      <c r="H115" s="12" t="e">
        <f>IF(Salidas[[#This Row],[Artículo (código)]]="","",VLOOKUP(Salidas[[#This Row],[Artículo (código)]],Existencias!A:F,7,FALSE))</f>
        <v>#REF!</v>
      </c>
    </row>
    <row r="116" spans="1:8" x14ac:dyDescent="0.3">
      <c r="A116" s="12"/>
      <c r="B116" s="13">
        <v>45675</v>
      </c>
      <c r="C116" s="17">
        <v>1</v>
      </c>
      <c r="D116" s="12" t="s">
        <v>692</v>
      </c>
      <c r="E116" s="29" t="s">
        <v>694</v>
      </c>
      <c r="F116" s="49" t="str">
        <f>IF(Salidas[[#This Row],[Artículo (código)]]="","",VLOOKUP(Salidas[[#This Row],[Artículo (código)]],Existencias!A:D,4,FALSE))</f>
        <v>Aceite Vegetal 900 ml</v>
      </c>
      <c r="G116" s="12">
        <v>1</v>
      </c>
      <c r="H116" s="12" t="e">
        <f>IF(Salidas[[#This Row],[Artículo (código)]]="","",VLOOKUP(Salidas[[#This Row],[Artículo (código)]],Existencias!A:F,7,FALSE))</f>
        <v>#REF!</v>
      </c>
    </row>
    <row r="117" spans="1:8" x14ac:dyDescent="0.3">
      <c r="A117" s="12"/>
      <c r="B117" s="13">
        <v>45675</v>
      </c>
      <c r="C117" s="17">
        <v>1</v>
      </c>
      <c r="D117" s="12" t="s">
        <v>692</v>
      </c>
      <c r="E117" s="29" t="s">
        <v>887</v>
      </c>
      <c r="F117" s="49" t="str">
        <f>IF(Salidas[[#This Row],[Artículo (código)]]="","",VLOOKUP(Salidas[[#This Row],[Artículo (código)]],Existencias!A:D,4,FALSE))</f>
        <v>Trozo de atun aceite lata</v>
      </c>
      <c r="G117" s="12">
        <v>15</v>
      </c>
      <c r="H117" s="12" t="e">
        <f>IF(Salidas[[#This Row],[Artículo (código)]]="","",VLOOKUP(Salidas[[#This Row],[Artículo (código)]],Existencias!A:F,7,FALSE))</f>
        <v>#REF!</v>
      </c>
    </row>
    <row r="118" spans="1:8" x14ac:dyDescent="0.3">
      <c r="A118" s="12"/>
      <c r="B118" s="13">
        <v>45675</v>
      </c>
      <c r="C118" s="17">
        <v>1</v>
      </c>
      <c r="D118" s="12" t="s">
        <v>692</v>
      </c>
      <c r="E118" s="29" t="s">
        <v>847</v>
      </c>
      <c r="F118" s="49" t="str">
        <f>IF(Salidas[[#This Row],[Artículo (código)]]="","",VLOOKUP(Salidas[[#This Row],[Artículo (código)]],Existencias!A:D,4,FALSE))</f>
        <v>Salsa de tomate 290 gr</v>
      </c>
      <c r="G118" s="12">
        <v>1</v>
      </c>
      <c r="H118" s="12" t="e">
        <f>IF(Salidas[[#This Row],[Artículo (código)]]="","",VLOOKUP(Salidas[[#This Row],[Artículo (código)]],Existencias!A:F,7,FALSE))</f>
        <v>#REF!</v>
      </c>
    </row>
    <row r="119" spans="1:8" x14ac:dyDescent="0.3">
      <c r="A119" s="12"/>
      <c r="B119" s="13">
        <v>45676</v>
      </c>
      <c r="C119" s="17">
        <v>1</v>
      </c>
      <c r="D119" s="12" t="s">
        <v>692</v>
      </c>
      <c r="E119" s="29" t="s">
        <v>788</v>
      </c>
      <c r="F119" s="49" t="str">
        <f>IF(Salidas[[#This Row],[Artículo (código)]]="","",VLOOKUP(Salidas[[#This Row],[Artículo (código)]],Existencias!A:D,4,FALSE))</f>
        <v>Avena  1 kl</v>
      </c>
      <c r="G119" s="12">
        <v>1</v>
      </c>
      <c r="H119" s="12" t="e">
        <f>IF(Salidas[[#This Row],[Artículo (código)]]="","",VLOOKUP(Salidas[[#This Row],[Artículo (código)]],Existencias!A:F,7,FALSE))</f>
        <v>#REF!</v>
      </c>
    </row>
    <row r="120" spans="1:8" x14ac:dyDescent="0.3">
      <c r="A120" s="12"/>
      <c r="B120" s="13">
        <v>45676</v>
      </c>
      <c r="C120" s="17">
        <v>1</v>
      </c>
      <c r="D120" s="12" t="s">
        <v>692</v>
      </c>
      <c r="E120" s="29" t="s">
        <v>989</v>
      </c>
      <c r="F120" s="49" t="str">
        <f>IF(Salidas[[#This Row],[Artículo (código)]]="","",VLOOKUP(Salidas[[#This Row],[Artículo (código)]],Existencias!A:D,4,FALSE))</f>
        <v>Huevo pardo</v>
      </c>
      <c r="G120" s="12">
        <v>36</v>
      </c>
      <c r="H120" s="12" t="e">
        <f>IF(Salidas[[#This Row],[Artículo (código)]]="","",VLOOKUP(Salidas[[#This Row],[Artículo (código)]],Existencias!A:F,7,FALSE))</f>
        <v>#REF!</v>
      </c>
    </row>
    <row r="121" spans="1:8" x14ac:dyDescent="0.3">
      <c r="A121" s="12"/>
      <c r="B121" s="13">
        <v>45676</v>
      </c>
      <c r="C121" s="17">
        <v>1</v>
      </c>
      <c r="D121" s="12" t="s">
        <v>692</v>
      </c>
      <c r="E121" s="29" t="s">
        <v>753</v>
      </c>
      <c r="F121" s="49" t="str">
        <f>IF(Salidas[[#This Row],[Artículo (código)]]="","",VLOOKUP(Salidas[[#This Row],[Artículo (código)]],Existencias!A:D,4,FALSE))</f>
        <v>Azucar rubia 1kg</v>
      </c>
      <c r="G121" s="12">
        <v>1</v>
      </c>
      <c r="H121" s="12" t="e">
        <f>IF(Salidas[[#This Row],[Artículo (código)]]="","",VLOOKUP(Salidas[[#This Row],[Artículo (código)]],Existencias!A:F,7,FALSE))</f>
        <v>#REF!</v>
      </c>
    </row>
    <row r="122" spans="1:8" x14ac:dyDescent="0.3">
      <c r="A122" s="12"/>
      <c r="B122" s="13">
        <v>45676</v>
      </c>
      <c r="C122" s="17">
        <v>1</v>
      </c>
      <c r="D122" s="12" t="s">
        <v>692</v>
      </c>
      <c r="E122" s="29" t="s">
        <v>723</v>
      </c>
      <c r="F122" s="49" t="str">
        <f>IF(Salidas[[#This Row],[Artículo (código)]]="","",VLOOKUP(Salidas[[#This Row],[Artículo (código)]],Existencias!A:D,4,FALSE))</f>
        <v>Pollo fresco entero</v>
      </c>
      <c r="G122" s="12">
        <v>8</v>
      </c>
      <c r="H122" s="12" t="e">
        <f>IF(Salidas[[#This Row],[Artículo (código)]]="","",VLOOKUP(Salidas[[#This Row],[Artículo (código)]],Existencias!A:F,7,FALSE))</f>
        <v>#REF!</v>
      </c>
    </row>
    <row r="123" spans="1:8" x14ac:dyDescent="0.3">
      <c r="A123" s="12"/>
      <c r="B123" s="13">
        <v>45676</v>
      </c>
      <c r="C123" s="17">
        <v>1</v>
      </c>
      <c r="D123" s="12" t="s">
        <v>692</v>
      </c>
      <c r="E123" s="29" t="s">
        <v>800</v>
      </c>
      <c r="F123" s="49" t="str">
        <f>IF(Salidas[[#This Row],[Artículo (código)]]="","",VLOOKUP(Salidas[[#This Row],[Artículo (código)]],Existencias!A:D,4,FALSE))</f>
        <v xml:space="preserve">Arroz 5 kg </v>
      </c>
      <c r="G123" s="12">
        <v>1</v>
      </c>
      <c r="H123" s="12" t="e">
        <f>IF(Salidas[[#This Row],[Artículo (código)]]="","",VLOOKUP(Salidas[[#This Row],[Artículo (código)]],Existencias!A:F,7,FALSE))</f>
        <v>#REF!</v>
      </c>
    </row>
    <row r="124" spans="1:8" x14ac:dyDescent="0.3">
      <c r="A124" s="12"/>
      <c r="B124" s="13">
        <v>45676</v>
      </c>
      <c r="C124" s="17">
        <v>1</v>
      </c>
      <c r="D124" s="12" t="s">
        <v>692</v>
      </c>
      <c r="E124" s="29" t="s">
        <v>919</v>
      </c>
      <c r="F124" s="49" t="str">
        <f>IF(Salidas[[#This Row],[Artículo (código)]]="","",VLOOKUP(Salidas[[#This Row],[Artículo (código)]],Existencias!A:D,4,FALSE))</f>
        <v>Fideos cortos 250 gr</v>
      </c>
      <c r="G124" s="12">
        <v>3</v>
      </c>
      <c r="H124" s="12" t="e">
        <f>IF(Salidas[[#This Row],[Artículo (código)]]="","",VLOOKUP(Salidas[[#This Row],[Artículo (código)]],Existencias!A:F,7,FALSE))</f>
        <v>#REF!</v>
      </c>
    </row>
    <row r="125" spans="1:8" x14ac:dyDescent="0.3">
      <c r="A125" s="12"/>
      <c r="B125" s="13">
        <v>45677</v>
      </c>
      <c r="C125" s="17">
        <v>1</v>
      </c>
      <c r="D125" s="12" t="s">
        <v>692</v>
      </c>
      <c r="E125" s="29" t="s">
        <v>788</v>
      </c>
      <c r="F125" s="49" t="str">
        <f>IF(Salidas[[#This Row],[Artículo (código)]]="","",VLOOKUP(Salidas[[#This Row],[Artículo (código)]],Existencias!A:D,4,FALSE))</f>
        <v>Avena  1 kl</v>
      </c>
      <c r="G125" s="12">
        <v>1</v>
      </c>
      <c r="H125" s="12" t="e">
        <f>IF(Salidas[[#This Row],[Artículo (código)]]="","",VLOOKUP(Salidas[[#This Row],[Artículo (código)]],Existencias!A:F,7,FALSE))</f>
        <v>#REF!</v>
      </c>
    </row>
    <row r="126" spans="1:8" x14ac:dyDescent="0.3">
      <c r="A126" s="12"/>
      <c r="B126" s="13">
        <v>45677</v>
      </c>
      <c r="C126" s="17">
        <v>1</v>
      </c>
      <c r="D126" s="12" t="s">
        <v>692</v>
      </c>
      <c r="E126" s="29" t="s">
        <v>753</v>
      </c>
      <c r="F126" s="49" t="str">
        <f>IF(Salidas[[#This Row],[Artículo (código)]]="","",VLOOKUP(Salidas[[#This Row],[Artículo (código)]],Existencias!A:D,4,FALSE))</f>
        <v>Azucar rubia 1kg</v>
      </c>
      <c r="G126" s="12">
        <v>1</v>
      </c>
      <c r="H126" s="12" t="e">
        <f>IF(Salidas[[#This Row],[Artículo (código)]]="","",VLOOKUP(Salidas[[#This Row],[Artículo (código)]],Existencias!A:F,7,FALSE))</f>
        <v>#REF!</v>
      </c>
    </row>
    <row r="127" spans="1:8" x14ac:dyDescent="0.3">
      <c r="A127" s="12"/>
      <c r="B127" s="13">
        <v>45677</v>
      </c>
      <c r="C127" s="17">
        <v>1</v>
      </c>
      <c r="D127" s="12" t="s">
        <v>692</v>
      </c>
      <c r="E127" s="29" t="s">
        <v>1226</v>
      </c>
      <c r="F127" s="49" t="str">
        <f>IF(Salidas[[#This Row],[Artículo (código)]]="","",VLOOKUP(Salidas[[#This Row],[Artículo (código)]],Existencias!A:D,4,FALSE))</f>
        <v>Quinua 500 gr</v>
      </c>
      <c r="G127" s="12">
        <v>1</v>
      </c>
      <c r="H127" s="12" t="e">
        <f>IF(Salidas[[#This Row],[Artículo (código)]]="","",VLOOKUP(Salidas[[#This Row],[Artículo (código)]],Existencias!A:F,7,FALSE))</f>
        <v>#REF!</v>
      </c>
    </row>
    <row r="128" spans="1:8" x14ac:dyDescent="0.3">
      <c r="A128" s="12"/>
      <c r="B128" s="13">
        <v>45677</v>
      </c>
      <c r="C128" s="17">
        <v>1</v>
      </c>
      <c r="D128" s="12" t="s">
        <v>692</v>
      </c>
      <c r="E128" s="29" t="s">
        <v>800</v>
      </c>
      <c r="F128" s="49" t="str">
        <f>IF(Salidas[[#This Row],[Artículo (código)]]="","",VLOOKUP(Salidas[[#This Row],[Artículo (código)]],Existencias!A:D,4,FALSE))</f>
        <v xml:space="preserve">Arroz 5 kg </v>
      </c>
      <c r="G128" s="12">
        <v>1</v>
      </c>
      <c r="H128" s="12" t="e">
        <f>IF(Salidas[[#This Row],[Artículo (código)]]="","",VLOOKUP(Salidas[[#This Row],[Artículo (código)]],Existencias!A:F,7,FALSE))</f>
        <v>#REF!</v>
      </c>
    </row>
    <row r="129" spans="1:8" x14ac:dyDescent="0.3">
      <c r="A129" s="12"/>
      <c r="B129" s="13">
        <v>45677</v>
      </c>
      <c r="C129" s="17">
        <v>1</v>
      </c>
      <c r="D129" s="12" t="s">
        <v>692</v>
      </c>
      <c r="E129" s="29" t="s">
        <v>694</v>
      </c>
      <c r="F129" s="49" t="str">
        <f>IF(Salidas[[#This Row],[Artículo (código)]]="","",VLOOKUP(Salidas[[#This Row],[Artículo (código)]],Existencias!A:D,4,FALSE))</f>
        <v>Aceite Vegetal 900 ml</v>
      </c>
      <c r="G129" s="12">
        <v>1</v>
      </c>
      <c r="H129" s="12" t="e">
        <f>IF(Salidas[[#This Row],[Artículo (código)]]="","",VLOOKUP(Salidas[[#This Row],[Artículo (código)]],Existencias!A:F,7,FALSE))</f>
        <v>#REF!</v>
      </c>
    </row>
    <row r="130" spans="1:8" x14ac:dyDescent="0.3">
      <c r="A130" s="12"/>
      <c r="B130" s="13">
        <v>45677</v>
      </c>
      <c r="C130" s="17">
        <v>1</v>
      </c>
      <c r="D130" s="12" t="s">
        <v>692</v>
      </c>
      <c r="E130" s="29" t="s">
        <v>989</v>
      </c>
      <c r="F130" s="49" t="str">
        <f>IF(Salidas[[#This Row],[Artículo (código)]]="","",VLOOKUP(Salidas[[#This Row],[Artículo (código)]],Existencias!A:D,4,FALSE))</f>
        <v>Huevo pardo</v>
      </c>
      <c r="G130" s="12">
        <v>52</v>
      </c>
      <c r="H130" s="12" t="e">
        <f>IF(Salidas[[#This Row],[Artículo (código)]]="","",VLOOKUP(Salidas[[#This Row],[Artículo (código)]],Existencias!A:F,7,FALSE))</f>
        <v>#REF!</v>
      </c>
    </row>
    <row r="131" spans="1:8" x14ac:dyDescent="0.3">
      <c r="A131" s="12"/>
      <c r="B131" s="13">
        <v>45678</v>
      </c>
      <c r="C131" s="17">
        <v>1</v>
      </c>
      <c r="D131" s="12" t="s">
        <v>692</v>
      </c>
      <c r="E131" s="29" t="s">
        <v>1227</v>
      </c>
      <c r="F131" s="49" t="str">
        <f>IF(Salidas[[#This Row],[Artículo (código)]]="","",VLOOKUP(Salidas[[#This Row],[Artículo (código)]],Existencias!A:D,4,FALSE))</f>
        <v>Quinua 1 kg</v>
      </c>
      <c r="G131" s="12">
        <v>1</v>
      </c>
      <c r="H131" s="12" t="e">
        <f>IF(Salidas[[#This Row],[Artículo (código)]]="","",VLOOKUP(Salidas[[#This Row],[Artículo (código)]],Existencias!A:F,7,FALSE))</f>
        <v>#REF!</v>
      </c>
    </row>
    <row r="132" spans="1:8" x14ac:dyDescent="0.3">
      <c r="A132" s="12"/>
      <c r="B132" s="13">
        <v>45678</v>
      </c>
      <c r="C132" s="17">
        <v>1</v>
      </c>
      <c r="D132" s="12" t="s">
        <v>692</v>
      </c>
      <c r="E132" s="29" t="s">
        <v>989</v>
      </c>
      <c r="F132" s="49" t="str">
        <f>IF(Salidas[[#This Row],[Artículo (código)]]="","",VLOOKUP(Salidas[[#This Row],[Artículo (código)]],Existencias!A:D,4,FALSE))</f>
        <v>Huevo pardo</v>
      </c>
      <c r="G132" s="12">
        <v>30</v>
      </c>
      <c r="H132" s="12" t="e">
        <f>IF(Salidas[[#This Row],[Artículo (código)]]="","",VLOOKUP(Salidas[[#This Row],[Artículo (código)]],Existencias!A:F,7,FALSE))</f>
        <v>#REF!</v>
      </c>
    </row>
    <row r="133" spans="1:8" x14ac:dyDescent="0.3">
      <c r="A133" s="12"/>
      <c r="B133" s="13">
        <v>45678</v>
      </c>
      <c r="C133" s="17">
        <v>1</v>
      </c>
      <c r="D133" s="12" t="s">
        <v>692</v>
      </c>
      <c r="E133" s="29" t="s">
        <v>753</v>
      </c>
      <c r="F133" s="49" t="str">
        <f>IF(Salidas[[#This Row],[Artículo (código)]]="","",VLOOKUP(Salidas[[#This Row],[Artículo (código)]],Existencias!A:D,4,FALSE))</f>
        <v>Azucar rubia 1kg</v>
      </c>
      <c r="G133" s="12">
        <v>1</v>
      </c>
      <c r="H133" s="12" t="e">
        <f>IF(Salidas[[#This Row],[Artículo (código)]]="","",VLOOKUP(Salidas[[#This Row],[Artículo (código)]],Existencias!A:F,7,FALSE))</f>
        <v>#REF!</v>
      </c>
    </row>
    <row r="134" spans="1:8" x14ac:dyDescent="0.3">
      <c r="A134" s="12"/>
      <c r="B134" s="13">
        <v>45678</v>
      </c>
      <c r="C134" s="17">
        <v>1</v>
      </c>
      <c r="D134" s="12" t="s">
        <v>692</v>
      </c>
      <c r="E134" s="29" t="s">
        <v>800</v>
      </c>
      <c r="F134" s="49" t="str">
        <f>IF(Salidas[[#This Row],[Artículo (código)]]="","",VLOOKUP(Salidas[[#This Row],[Artículo (código)]],Existencias!A:D,4,FALSE))</f>
        <v xml:space="preserve">Arroz 5 kg </v>
      </c>
      <c r="G134" s="12">
        <v>1</v>
      </c>
      <c r="H134" s="12" t="e">
        <f>IF(Salidas[[#This Row],[Artículo (código)]]="","",VLOOKUP(Salidas[[#This Row],[Artículo (código)]],Existencias!A:F,7,FALSE))</f>
        <v>#REF!</v>
      </c>
    </row>
    <row r="135" spans="1:8" x14ac:dyDescent="0.3">
      <c r="A135" s="12"/>
      <c r="B135" s="13">
        <v>45678</v>
      </c>
      <c r="C135" s="17">
        <v>1</v>
      </c>
      <c r="D135" s="12" t="s">
        <v>692</v>
      </c>
      <c r="E135" s="29" t="s">
        <v>799</v>
      </c>
      <c r="F135" s="49" t="str">
        <f>IF(Salidas[[#This Row],[Artículo (código)]]="","",VLOOKUP(Salidas[[#This Row],[Artículo (código)]],Existencias!A:D,4,FALSE))</f>
        <v>Arroz 1 kg</v>
      </c>
      <c r="G135" s="12">
        <v>3</v>
      </c>
      <c r="H135" s="12" t="e">
        <f>IF(Salidas[[#This Row],[Artículo (código)]]="","",VLOOKUP(Salidas[[#This Row],[Artículo (código)]],Existencias!A:F,7,FALSE))</f>
        <v>#REF!</v>
      </c>
    </row>
    <row r="136" spans="1:8" x14ac:dyDescent="0.3">
      <c r="A136" s="12"/>
      <c r="B136" s="13">
        <v>45678</v>
      </c>
      <c r="C136" s="17">
        <v>1</v>
      </c>
      <c r="D136" s="12" t="s">
        <v>692</v>
      </c>
      <c r="E136" s="29" t="s">
        <v>723</v>
      </c>
      <c r="F136" s="49" t="str">
        <f>IF(Salidas[[#This Row],[Artículo (código)]]="","",VLOOKUP(Salidas[[#This Row],[Artículo (código)]],Existencias!A:D,4,FALSE))</f>
        <v>Pollo fresco entero</v>
      </c>
      <c r="G136" s="12">
        <v>7</v>
      </c>
      <c r="H136" s="12" t="e">
        <f>IF(Salidas[[#This Row],[Artículo (código)]]="","",VLOOKUP(Salidas[[#This Row],[Artículo (código)]],Existencias!A:F,7,FALSE))</f>
        <v>#REF!</v>
      </c>
    </row>
    <row r="137" spans="1:8" x14ac:dyDescent="0.3">
      <c r="A137" s="12"/>
      <c r="B137" s="13">
        <v>45678</v>
      </c>
      <c r="C137" s="17">
        <v>1</v>
      </c>
      <c r="D137" s="12" t="s">
        <v>692</v>
      </c>
      <c r="E137" s="29" t="s">
        <v>694</v>
      </c>
      <c r="F137" s="49" t="str">
        <f>IF(Salidas[[#This Row],[Artículo (código)]]="","",VLOOKUP(Salidas[[#This Row],[Artículo (código)]],Existencias!A:D,4,FALSE))</f>
        <v>Aceite Vegetal 900 ml</v>
      </c>
      <c r="G137" s="12">
        <v>1</v>
      </c>
      <c r="H137" s="12" t="e">
        <f>IF(Salidas[[#This Row],[Artículo (código)]]="","",VLOOKUP(Salidas[[#This Row],[Artículo (código)]],Existencias!A:F,7,FALSE))</f>
        <v>#REF!</v>
      </c>
    </row>
    <row r="138" spans="1:8" x14ac:dyDescent="0.3">
      <c r="A138" s="12"/>
      <c r="B138" s="13">
        <v>45678</v>
      </c>
      <c r="C138" s="17">
        <v>1</v>
      </c>
      <c r="D138" s="12" t="s">
        <v>692</v>
      </c>
      <c r="E138" s="29" t="s">
        <v>1308</v>
      </c>
      <c r="F138" s="49" t="str">
        <f>IF(Salidas[[#This Row],[Artículo (código)]]="","",VLOOKUP(Salidas[[#This Row],[Artículo (código)]],Existencias!A:D,4,FALSE))</f>
        <v>Carne Molida</v>
      </c>
      <c r="G138" s="12">
        <v>5</v>
      </c>
      <c r="H138" s="12" t="e">
        <f>IF(Salidas[[#This Row],[Artículo (código)]]="","",VLOOKUP(Salidas[[#This Row],[Artículo (código)]],Existencias!A:F,7,FALSE))</f>
        <v>#REF!</v>
      </c>
    </row>
    <row r="139" spans="1:8" x14ac:dyDescent="0.3">
      <c r="A139" s="12"/>
      <c r="B139" s="13">
        <v>45678</v>
      </c>
      <c r="C139" s="17">
        <v>1</v>
      </c>
      <c r="D139" s="12" t="s">
        <v>692</v>
      </c>
      <c r="E139" s="29" t="s">
        <v>704</v>
      </c>
      <c r="F139" s="49" t="str">
        <f>IF(Salidas[[#This Row],[Artículo (código)]]="","",VLOOKUP(Salidas[[#This Row],[Artículo (código)]],Existencias!A:D,4,FALSE))</f>
        <v>Leche Ligth 390 lata</v>
      </c>
      <c r="G139" s="12">
        <v>6</v>
      </c>
      <c r="H139" s="12" t="e">
        <f>IF(Salidas[[#This Row],[Artículo (código)]]="","",VLOOKUP(Salidas[[#This Row],[Artículo (código)]],Existencias!A:F,7,FALSE))</f>
        <v>#REF!</v>
      </c>
    </row>
    <row r="140" spans="1:8" x14ac:dyDescent="0.3">
      <c r="A140" s="12"/>
      <c r="B140" s="13">
        <v>45678</v>
      </c>
      <c r="C140" s="17">
        <v>1</v>
      </c>
      <c r="D140" s="12" t="s">
        <v>692</v>
      </c>
      <c r="E140" s="29" t="s">
        <v>989</v>
      </c>
      <c r="F140" s="49" t="str">
        <f>IF(Salidas[[#This Row],[Artículo (código)]]="","",VLOOKUP(Salidas[[#This Row],[Artículo (código)]],Existencias!A:D,4,FALSE))</f>
        <v>Huevo pardo</v>
      </c>
      <c r="G140" s="12">
        <v>46</v>
      </c>
      <c r="H140" s="12" t="e">
        <f>IF(Salidas[[#This Row],[Artículo (código)]]="","",VLOOKUP(Salidas[[#This Row],[Artículo (código)]],Existencias!A:F,7,FALSE))</f>
        <v>#REF!</v>
      </c>
    </row>
    <row r="141" spans="1:8" x14ac:dyDescent="0.3">
      <c r="A141" s="12"/>
      <c r="B141" s="13">
        <v>45679</v>
      </c>
      <c r="C141" s="17">
        <v>1</v>
      </c>
      <c r="D141" s="12" t="s">
        <v>692</v>
      </c>
      <c r="E141" s="29" t="s">
        <v>1227</v>
      </c>
      <c r="F141" s="49" t="str">
        <f>IF(Salidas[[#This Row],[Artículo (código)]]="","",VLOOKUP(Salidas[[#This Row],[Artículo (código)]],Existencias!A:D,4,FALSE))</f>
        <v>Quinua 1 kg</v>
      </c>
      <c r="G141" s="12">
        <v>1</v>
      </c>
      <c r="H141" s="12" t="e">
        <f>IF(Salidas[[#This Row],[Artículo (código)]]="","",VLOOKUP(Salidas[[#This Row],[Artículo (código)]],Existencias!A:F,7,FALSE))</f>
        <v>#REF!</v>
      </c>
    </row>
    <row r="142" spans="1:8" x14ac:dyDescent="0.3">
      <c r="A142" s="12"/>
      <c r="B142" s="13">
        <v>45679</v>
      </c>
      <c r="C142" s="17">
        <v>1</v>
      </c>
      <c r="D142" s="12" t="s">
        <v>692</v>
      </c>
      <c r="E142" s="29" t="s">
        <v>1059</v>
      </c>
      <c r="F142" s="49" t="str">
        <f>IF(Salidas[[#This Row],[Artículo (código)]]="","",VLOOKUP(Salidas[[#This Row],[Artículo (código)]],Existencias!A:D,4,FALSE))</f>
        <v>Yogurt  1 lt</v>
      </c>
      <c r="G142" s="12">
        <v>2</v>
      </c>
      <c r="H142" s="12" t="e">
        <f>IF(Salidas[[#This Row],[Artículo (código)]]="","",VLOOKUP(Salidas[[#This Row],[Artículo (código)]],Existencias!A:F,7,FALSE))</f>
        <v>#REF!</v>
      </c>
    </row>
    <row r="143" spans="1:8" x14ac:dyDescent="0.3">
      <c r="A143" s="12"/>
      <c r="B143" s="13">
        <v>45679</v>
      </c>
      <c r="C143" s="17">
        <v>1</v>
      </c>
      <c r="D143" s="12" t="s">
        <v>692</v>
      </c>
      <c r="E143" s="29" t="s">
        <v>800</v>
      </c>
      <c r="F143" s="49" t="str">
        <f>IF(Salidas[[#This Row],[Artículo (código)]]="","",VLOOKUP(Salidas[[#This Row],[Artículo (código)]],Existencias!A:D,4,FALSE))</f>
        <v xml:space="preserve">Arroz 5 kg </v>
      </c>
      <c r="G143" s="12">
        <v>1</v>
      </c>
      <c r="H143" s="12" t="e">
        <f>IF(Salidas[[#This Row],[Artículo (código)]]="","",VLOOKUP(Salidas[[#This Row],[Artículo (código)]],Existencias!A:F,7,FALSE))</f>
        <v>#REF!</v>
      </c>
    </row>
    <row r="144" spans="1:8" x14ac:dyDescent="0.3">
      <c r="A144" s="12"/>
      <c r="B144" s="13">
        <v>45679</v>
      </c>
      <c r="C144" s="17">
        <v>1</v>
      </c>
      <c r="D144" s="12" t="s">
        <v>692</v>
      </c>
      <c r="E144" s="29" t="s">
        <v>919</v>
      </c>
      <c r="F144" s="49" t="str">
        <f>IF(Salidas[[#This Row],[Artículo (código)]]="","",VLOOKUP(Salidas[[#This Row],[Artículo (código)]],Existencias!A:D,4,FALSE))</f>
        <v>Fideos cortos 250 gr</v>
      </c>
      <c r="G144" s="12">
        <v>3</v>
      </c>
      <c r="H144" s="12" t="e">
        <f>IF(Salidas[[#This Row],[Artículo (código)]]="","",VLOOKUP(Salidas[[#This Row],[Artículo (código)]],Existencias!A:F,7,FALSE))</f>
        <v>#REF!</v>
      </c>
    </row>
    <row r="145" spans="1:8" x14ac:dyDescent="0.3">
      <c r="A145" s="12"/>
      <c r="B145" s="13">
        <v>45679</v>
      </c>
      <c r="C145" s="17">
        <v>1</v>
      </c>
      <c r="D145" s="12" t="s">
        <v>692</v>
      </c>
      <c r="E145" s="29" t="s">
        <v>847</v>
      </c>
      <c r="F145" s="49" t="str">
        <f>IF(Salidas[[#This Row],[Artículo (código)]]="","",VLOOKUP(Salidas[[#This Row],[Artículo (código)]],Existencias!A:D,4,FALSE))</f>
        <v>Salsa de tomate 290 gr</v>
      </c>
      <c r="G145" s="12">
        <v>6</v>
      </c>
      <c r="H145" s="12" t="e">
        <f>IF(Salidas[[#This Row],[Artículo (código)]]="","",VLOOKUP(Salidas[[#This Row],[Artículo (código)]],Existencias!A:F,7,FALSE))</f>
        <v>#REF!</v>
      </c>
    </row>
    <row r="146" spans="1:8" x14ac:dyDescent="0.3">
      <c r="A146" s="12"/>
      <c r="B146" s="13">
        <v>46045</v>
      </c>
      <c r="C146" s="17">
        <v>1</v>
      </c>
      <c r="D146" s="12" t="s">
        <v>692</v>
      </c>
      <c r="E146" s="29" t="s">
        <v>788</v>
      </c>
      <c r="F146" s="49" t="str">
        <f>IF(Salidas[[#This Row],[Artículo (código)]]="","",VLOOKUP(Salidas[[#This Row],[Artículo (código)]],Existencias!A:D,4,FALSE))</f>
        <v>Avena  1 kl</v>
      </c>
      <c r="G146" s="12">
        <v>1</v>
      </c>
      <c r="H146" s="12" t="e">
        <f>IF(Salidas[[#This Row],[Artículo (código)]]="","",VLOOKUP(Salidas[[#This Row],[Artículo (código)]],Existencias!A:F,7,FALSE))</f>
        <v>#REF!</v>
      </c>
    </row>
    <row r="147" spans="1:8" x14ac:dyDescent="0.3">
      <c r="A147" s="12"/>
      <c r="B147" s="13">
        <v>46045</v>
      </c>
      <c r="C147" s="17">
        <v>1</v>
      </c>
      <c r="D147" s="12" t="s">
        <v>692</v>
      </c>
      <c r="E147" s="29" t="s">
        <v>989</v>
      </c>
      <c r="F147" s="49" t="str">
        <f>IF(Salidas[[#This Row],[Artículo (código)]]="","",VLOOKUP(Salidas[[#This Row],[Artículo (código)]],Existencias!A:D,4,FALSE))</f>
        <v>Huevo pardo</v>
      </c>
      <c r="G147" s="12">
        <v>25</v>
      </c>
      <c r="H147" s="12" t="e">
        <f>IF(Salidas[[#This Row],[Artículo (código)]]="","",VLOOKUP(Salidas[[#This Row],[Artículo (código)]],Existencias!A:F,7,FALSE))</f>
        <v>#REF!</v>
      </c>
    </row>
    <row r="148" spans="1:8" x14ac:dyDescent="0.3">
      <c r="A148" s="12"/>
      <c r="B148" s="13">
        <v>46045</v>
      </c>
      <c r="C148" s="17">
        <v>1</v>
      </c>
      <c r="D148" s="12" t="s">
        <v>692</v>
      </c>
      <c r="E148" s="29" t="s">
        <v>800</v>
      </c>
      <c r="F148" s="49" t="str">
        <f>IF(Salidas[[#This Row],[Artículo (código)]]="","",VLOOKUP(Salidas[[#This Row],[Artículo (código)]],Existencias!A:D,4,FALSE))</f>
        <v xml:space="preserve">Arroz 5 kg </v>
      </c>
      <c r="G148" s="12">
        <v>1</v>
      </c>
      <c r="H148" s="12" t="e">
        <f>IF(Salidas[[#This Row],[Artículo (código)]]="","",VLOOKUP(Salidas[[#This Row],[Artículo (código)]],Existencias!A:F,7,FALSE))</f>
        <v>#REF!</v>
      </c>
    </row>
    <row r="149" spans="1:8" x14ac:dyDescent="0.3">
      <c r="A149" s="12"/>
      <c r="B149" s="13">
        <v>46045</v>
      </c>
      <c r="C149" s="17">
        <v>1</v>
      </c>
      <c r="D149" s="12" t="s">
        <v>692</v>
      </c>
      <c r="E149" s="29" t="s">
        <v>799</v>
      </c>
      <c r="F149" s="49" t="str">
        <f>IF(Salidas[[#This Row],[Artículo (código)]]="","",VLOOKUP(Salidas[[#This Row],[Artículo (código)]],Existencias!A:D,4,FALSE))</f>
        <v>Arroz 1 kg</v>
      </c>
      <c r="G149" s="12">
        <v>3</v>
      </c>
      <c r="H149" s="12" t="e">
        <f>IF(Salidas[[#This Row],[Artículo (código)]]="","",VLOOKUP(Salidas[[#This Row],[Artículo (código)]],Existencias!A:F,7,FALSE))</f>
        <v>#REF!</v>
      </c>
    </row>
    <row r="150" spans="1:8" x14ac:dyDescent="0.3">
      <c r="A150" s="12"/>
      <c r="B150" s="13">
        <v>46045</v>
      </c>
      <c r="C150" s="17">
        <v>1</v>
      </c>
      <c r="D150" s="12" t="s">
        <v>692</v>
      </c>
      <c r="E150" s="29" t="s">
        <v>1207</v>
      </c>
      <c r="F150" s="49" t="str">
        <f>IF(Salidas[[#This Row],[Artículo (código)]]="","",VLOOKUP(Salidas[[#This Row],[Artículo (código)]],Existencias!A:D,4,FALSE))</f>
        <v>Moron 500 gr</v>
      </c>
      <c r="G150" s="12">
        <v>1</v>
      </c>
      <c r="H150" s="12" t="e">
        <f>IF(Salidas[[#This Row],[Artículo (código)]]="","",VLOOKUP(Salidas[[#This Row],[Artículo (código)]],Existencias!A:F,7,FALSE))</f>
        <v>#REF!</v>
      </c>
    </row>
    <row r="151" spans="1:8" x14ac:dyDescent="0.3">
      <c r="A151" s="12"/>
      <c r="B151" s="13">
        <v>46045</v>
      </c>
      <c r="C151" s="17">
        <v>1</v>
      </c>
      <c r="D151" s="12" t="s">
        <v>692</v>
      </c>
      <c r="E151" s="29" t="s">
        <v>694</v>
      </c>
      <c r="F151" s="49" t="str">
        <f>IF(Salidas[[#This Row],[Artículo (código)]]="","",VLOOKUP(Salidas[[#This Row],[Artículo (código)]],Existencias!A:D,4,FALSE))</f>
        <v>Aceite Vegetal 900 ml</v>
      </c>
      <c r="G151" s="12">
        <v>1</v>
      </c>
      <c r="H151" s="12" t="e">
        <f>IF(Salidas[[#This Row],[Artículo (código)]]="","",VLOOKUP(Salidas[[#This Row],[Artículo (código)]],Existencias!A:F,7,FALSE))</f>
        <v>#REF!</v>
      </c>
    </row>
    <row r="152" spans="1:8" x14ac:dyDescent="0.3">
      <c r="A152" s="12"/>
      <c r="B152" s="13">
        <v>46045</v>
      </c>
      <c r="C152" s="17">
        <v>1</v>
      </c>
      <c r="D152" s="12" t="s">
        <v>692</v>
      </c>
      <c r="E152" s="29" t="s">
        <v>709</v>
      </c>
      <c r="F152" s="49" t="str">
        <f>IF(Salidas[[#This Row],[Artículo (código)]]="","",VLOOKUP(Salidas[[#This Row],[Artículo (código)]],Existencias!A:D,4,FALSE))</f>
        <v>Sal Mesa 1kg</v>
      </c>
      <c r="G152" s="12">
        <v>1</v>
      </c>
      <c r="H152" s="12" t="e">
        <f>IF(Salidas[[#This Row],[Artículo (código)]]="","",VLOOKUP(Salidas[[#This Row],[Artículo (código)]],Existencias!A:F,7,FALSE))</f>
        <v>#REF!</v>
      </c>
    </row>
    <row r="153" spans="1:8" x14ac:dyDescent="0.3">
      <c r="A153" s="12"/>
      <c r="B153" s="13">
        <v>46045</v>
      </c>
      <c r="C153" s="17">
        <v>1</v>
      </c>
      <c r="D153" s="12" t="s">
        <v>692</v>
      </c>
      <c r="E153" s="29" t="s">
        <v>847</v>
      </c>
      <c r="F153" s="49" t="str">
        <f>IF(Salidas[[#This Row],[Artículo (código)]]="","",VLOOKUP(Salidas[[#This Row],[Artículo (código)]],Existencias!A:D,4,FALSE))</f>
        <v>Salsa de tomate 290 gr</v>
      </c>
      <c r="G153" s="12">
        <v>1</v>
      </c>
      <c r="H153" s="12" t="e">
        <f>IF(Salidas[[#This Row],[Artículo (código)]]="","",VLOOKUP(Salidas[[#This Row],[Artículo (código)]],Existencias!A:F,7,FALSE))</f>
        <v>#REF!</v>
      </c>
    </row>
    <row r="154" spans="1:8" x14ac:dyDescent="0.3">
      <c r="A154" s="12"/>
      <c r="B154" s="13">
        <v>46045</v>
      </c>
      <c r="C154" s="17">
        <v>1</v>
      </c>
      <c r="D154" s="12" t="s">
        <v>692</v>
      </c>
      <c r="E154" s="29" t="s">
        <v>704</v>
      </c>
      <c r="F154" s="49" t="str">
        <f>IF(Salidas[[#This Row],[Artículo (código)]]="","",VLOOKUP(Salidas[[#This Row],[Artículo (código)]],Existencias!A:D,4,FALSE))</f>
        <v>Leche Ligth 390 lata</v>
      </c>
      <c r="G154" s="12">
        <v>4</v>
      </c>
      <c r="H154" s="12" t="e">
        <f>IF(Salidas[[#This Row],[Artículo (código)]]="","",VLOOKUP(Salidas[[#This Row],[Artículo (código)]],Existencias!A:F,7,FALSE))</f>
        <v>#REF!</v>
      </c>
    </row>
    <row r="155" spans="1:8" x14ac:dyDescent="0.3">
      <c r="A155" s="12"/>
      <c r="B155" s="13">
        <v>46045</v>
      </c>
      <c r="C155" s="17">
        <v>1</v>
      </c>
      <c r="D155" s="12" t="s">
        <v>692</v>
      </c>
      <c r="E155" s="29" t="s">
        <v>723</v>
      </c>
      <c r="F155" s="49" t="str">
        <f>IF(Salidas[[#This Row],[Artículo (código)]]="","",VLOOKUP(Salidas[[#This Row],[Artículo (código)]],Existencias!A:D,4,FALSE))</f>
        <v>Pollo fresco entero</v>
      </c>
      <c r="G155" s="12">
        <v>4</v>
      </c>
      <c r="H155" s="12" t="e">
        <f>IF(Salidas[[#This Row],[Artículo (código)]]="","",VLOOKUP(Salidas[[#This Row],[Artículo (código)]],Existencias!A:F,7,FALSE))</f>
        <v>#REF!</v>
      </c>
    </row>
    <row r="156" spans="1:8" x14ac:dyDescent="0.3">
      <c r="A156" s="12"/>
      <c r="B156" s="13">
        <v>46045</v>
      </c>
      <c r="C156" s="17">
        <v>1</v>
      </c>
      <c r="D156" s="12" t="s">
        <v>692</v>
      </c>
      <c r="E156" s="29" t="s">
        <v>1305</v>
      </c>
      <c r="F156" s="49" t="str">
        <f>IF(Salidas[[#This Row],[Artículo (código)]]="","",VLOOKUP(Salidas[[#This Row],[Artículo (código)]],Existencias!A:D,4,FALSE))</f>
        <v>Guiso especial</v>
      </c>
      <c r="G156" s="12">
        <v>2</v>
      </c>
      <c r="H156" s="12" t="e">
        <f>IF(Salidas[[#This Row],[Artículo (código)]]="","",VLOOKUP(Salidas[[#This Row],[Artículo (código)]],Existencias!A:F,7,FALSE))</f>
        <v>#REF!</v>
      </c>
    </row>
    <row r="157" spans="1:8" x14ac:dyDescent="0.3">
      <c r="A157" s="12"/>
      <c r="B157" s="13">
        <v>46045</v>
      </c>
      <c r="C157" s="17">
        <v>1</v>
      </c>
      <c r="D157" s="12" t="s">
        <v>692</v>
      </c>
      <c r="E157" s="29" t="s">
        <v>1304</v>
      </c>
      <c r="F157" s="49" t="str">
        <f>IF(Salidas[[#This Row],[Artículo (código)]]="","",VLOOKUP(Salidas[[#This Row],[Artículo (código)]],Existencias!A:D,4,FALSE))</f>
        <v>Guiso</v>
      </c>
      <c r="G157" s="12">
        <v>4</v>
      </c>
      <c r="H157" s="12" t="e">
        <f>IF(Salidas[[#This Row],[Artículo (código)]]="","",VLOOKUP(Salidas[[#This Row],[Artículo (código)]],Existencias!A:F,7,FALSE))</f>
        <v>#REF!</v>
      </c>
    </row>
    <row r="158" spans="1:8" x14ac:dyDescent="0.3">
      <c r="A158" s="12"/>
      <c r="B158" s="13">
        <v>46045</v>
      </c>
      <c r="C158" s="17">
        <v>1</v>
      </c>
      <c r="D158" s="12" t="s">
        <v>692</v>
      </c>
      <c r="E158" s="29" t="s">
        <v>784</v>
      </c>
      <c r="F158" s="49" t="str">
        <f>IF(Salidas[[#This Row],[Artículo (código)]]="","",VLOOKUP(Salidas[[#This Row],[Artículo (código)]],Existencias!A:D,4,FALSE))</f>
        <v>Medallon de lomo</v>
      </c>
      <c r="G158" s="12">
        <v>1</v>
      </c>
      <c r="H158" s="12" t="e">
        <f>IF(Salidas[[#This Row],[Artículo (código)]]="","",VLOOKUP(Salidas[[#This Row],[Artículo (código)]],Existencias!A:F,7,FALSE))</f>
        <v>#REF!</v>
      </c>
    </row>
    <row r="159" spans="1:8" x14ac:dyDescent="0.3">
      <c r="A159" s="12"/>
      <c r="B159" s="13">
        <v>46045</v>
      </c>
      <c r="C159" s="17">
        <v>1</v>
      </c>
      <c r="D159" s="12" t="s">
        <v>692</v>
      </c>
      <c r="E159" s="29" t="s">
        <v>1316</v>
      </c>
      <c r="F159" s="49" t="str">
        <f>IF(Salidas[[#This Row],[Artículo (código)]]="","",VLOOKUP(Salidas[[#This Row],[Artículo (código)]],Existencias!A:D,4,FALSE))</f>
        <v>Asado pejerrey</v>
      </c>
      <c r="G159" s="12">
        <v>1</v>
      </c>
      <c r="H159" s="12" t="e">
        <f>IF(Salidas[[#This Row],[Artículo (código)]]="","",VLOOKUP(Salidas[[#This Row],[Artículo (código)]],Existencias!A:F,7,FALSE))</f>
        <v>#REF!</v>
      </c>
    </row>
    <row r="160" spans="1:8" x14ac:dyDescent="0.3">
      <c r="A160" s="12"/>
      <c r="B160" s="13">
        <v>46045</v>
      </c>
      <c r="C160" s="17">
        <v>1</v>
      </c>
      <c r="D160" s="12" t="s">
        <v>692</v>
      </c>
      <c r="E160" s="29" t="s">
        <v>1330</v>
      </c>
      <c r="F160" s="49" t="str">
        <f>IF(Salidas[[#This Row],[Artículo (código)]]="","",VLOOKUP(Salidas[[#This Row],[Artículo (código)]],Existencias!A:D,4,FALSE))</f>
        <v>Asado de tira</v>
      </c>
      <c r="G160" s="12">
        <v>1</v>
      </c>
      <c r="H160" s="12" t="e">
        <f>IF(Salidas[[#This Row],[Artículo (código)]]="","",VLOOKUP(Salidas[[#This Row],[Artículo (código)]],Existencias!A:F,7,FALSE))</f>
        <v>#REF!</v>
      </c>
    </row>
    <row r="161" spans="1:8" x14ac:dyDescent="0.3">
      <c r="A161" s="12"/>
      <c r="B161" s="13">
        <v>46046</v>
      </c>
      <c r="C161" s="17">
        <v>1</v>
      </c>
      <c r="D161" s="12" t="s">
        <v>692</v>
      </c>
      <c r="E161" s="29" t="s">
        <v>788</v>
      </c>
      <c r="F161" s="49" t="str">
        <f>IF(Salidas[[#This Row],[Artículo (código)]]="","",VLOOKUP(Salidas[[#This Row],[Artículo (código)]],Existencias!A:D,4,FALSE))</f>
        <v>Avena  1 kl</v>
      </c>
      <c r="G161" s="12">
        <v>1</v>
      </c>
      <c r="H161" s="12" t="e">
        <f>IF(Salidas[[#This Row],[Artículo (código)]]="","",VLOOKUP(Salidas[[#This Row],[Artículo (código)]],Existencias!A:F,7,FALSE))</f>
        <v>#REF!</v>
      </c>
    </row>
    <row r="162" spans="1:8" x14ac:dyDescent="0.3">
      <c r="A162" s="12"/>
      <c r="B162" s="13">
        <v>46046</v>
      </c>
      <c r="C162" s="17">
        <v>1</v>
      </c>
      <c r="D162" s="12" t="s">
        <v>692</v>
      </c>
      <c r="E162" s="29" t="s">
        <v>800</v>
      </c>
      <c r="F162" s="49" t="str">
        <f>IF(Salidas[[#This Row],[Artículo (código)]]="","",VLOOKUP(Salidas[[#This Row],[Artículo (código)]],Existencias!A:D,4,FALSE))</f>
        <v xml:space="preserve">Arroz 5 kg </v>
      </c>
      <c r="G162" s="12">
        <v>1</v>
      </c>
      <c r="H162" s="12" t="e">
        <f>IF(Salidas[[#This Row],[Artículo (código)]]="","",VLOOKUP(Salidas[[#This Row],[Artículo (código)]],Existencias!A:F,7,FALSE))</f>
        <v>#REF!</v>
      </c>
    </row>
    <row r="163" spans="1:8" x14ac:dyDescent="0.3">
      <c r="A163" s="12"/>
      <c r="B163" s="13">
        <v>46046</v>
      </c>
      <c r="C163" s="17">
        <v>1</v>
      </c>
      <c r="D163" s="12" t="s">
        <v>692</v>
      </c>
      <c r="E163" s="29" t="s">
        <v>694</v>
      </c>
      <c r="F163" s="49" t="str">
        <f>IF(Salidas[[#This Row],[Artículo (código)]]="","",VLOOKUP(Salidas[[#This Row],[Artículo (código)]],Existencias!A:D,4,FALSE))</f>
        <v>Aceite Vegetal 900 ml</v>
      </c>
      <c r="G163" s="12">
        <v>1</v>
      </c>
      <c r="H163" s="12" t="e">
        <f>IF(Salidas[[#This Row],[Artículo (código)]]="","",VLOOKUP(Salidas[[#This Row],[Artículo (código)]],Existencias!A:F,7,FALSE))</f>
        <v>#REF!</v>
      </c>
    </row>
    <row r="164" spans="1:8" x14ac:dyDescent="0.3">
      <c r="A164" s="12"/>
      <c r="B164" s="13">
        <v>46046</v>
      </c>
      <c r="C164" s="17">
        <v>1</v>
      </c>
      <c r="D164" s="12" t="s">
        <v>692</v>
      </c>
      <c r="E164" s="29" t="s">
        <v>919</v>
      </c>
      <c r="F164" s="49" t="str">
        <f>IF(Salidas[[#This Row],[Artículo (código)]]="","",VLOOKUP(Salidas[[#This Row],[Artículo (código)]],Existencias!A:D,4,FALSE))</f>
        <v>Fideos cortos 250 gr</v>
      </c>
      <c r="G164" s="12">
        <v>4</v>
      </c>
      <c r="H164" s="12" t="e">
        <f>IF(Salidas[[#This Row],[Artículo (código)]]="","",VLOOKUP(Salidas[[#This Row],[Artículo (código)]],Existencias!A:F,7,FALSE))</f>
        <v>#REF!</v>
      </c>
    </row>
    <row r="165" spans="1:8" x14ac:dyDescent="0.3">
      <c r="A165" s="12"/>
      <c r="B165" s="13">
        <v>46046</v>
      </c>
      <c r="C165" s="17">
        <v>1</v>
      </c>
      <c r="D165" s="12" t="s">
        <v>692</v>
      </c>
      <c r="E165" s="29" t="s">
        <v>847</v>
      </c>
      <c r="F165" s="49" t="str">
        <f>IF(Salidas[[#This Row],[Artículo (código)]]="","",VLOOKUP(Salidas[[#This Row],[Artículo (código)]],Existencias!A:D,4,FALSE))</f>
        <v>Salsa de tomate 290 gr</v>
      </c>
      <c r="G165" s="12">
        <v>1</v>
      </c>
      <c r="H165" s="12" t="e">
        <f>IF(Salidas[[#This Row],[Artículo (código)]]="","",VLOOKUP(Salidas[[#This Row],[Artículo (código)]],Existencias!A:F,7,FALSE))</f>
        <v>#REF!</v>
      </c>
    </row>
    <row r="166" spans="1:8" x14ac:dyDescent="0.3">
      <c r="A166" s="12"/>
      <c r="B166" s="13">
        <v>46047</v>
      </c>
      <c r="C166" s="17">
        <v>1</v>
      </c>
      <c r="D166" s="12" t="s">
        <v>692</v>
      </c>
      <c r="E166" s="29" t="s">
        <v>788</v>
      </c>
      <c r="F166" s="49" t="str">
        <f>IF(Salidas[[#This Row],[Artículo (código)]]="","",VLOOKUP(Salidas[[#This Row],[Artículo (código)]],Existencias!A:D,4,FALSE))</f>
        <v>Avena  1 kl</v>
      </c>
      <c r="G166" s="12">
        <v>1</v>
      </c>
      <c r="H166" s="12" t="e">
        <f>IF(Salidas[[#This Row],[Artículo (código)]]="","",VLOOKUP(Salidas[[#This Row],[Artículo (código)]],Existencias!A:F,7,FALSE))</f>
        <v>#REF!</v>
      </c>
    </row>
    <row r="167" spans="1:8" x14ac:dyDescent="0.3">
      <c r="A167" s="12"/>
      <c r="B167" s="13">
        <v>46047</v>
      </c>
      <c r="C167" s="17">
        <v>1</v>
      </c>
      <c r="D167" s="12" t="s">
        <v>692</v>
      </c>
      <c r="E167" s="29" t="s">
        <v>989</v>
      </c>
      <c r="F167" s="49" t="str">
        <f>IF(Salidas[[#This Row],[Artículo (código)]]="","",VLOOKUP(Salidas[[#This Row],[Artículo (código)]],Existencias!A:D,4,FALSE))</f>
        <v>Huevo pardo</v>
      </c>
      <c r="G167" s="12">
        <v>42</v>
      </c>
      <c r="H167" s="12" t="e">
        <f>IF(Salidas[[#This Row],[Artículo (código)]]="","",VLOOKUP(Salidas[[#This Row],[Artículo (código)]],Existencias!A:F,7,FALSE))</f>
        <v>#REF!</v>
      </c>
    </row>
    <row r="168" spans="1:8" x14ac:dyDescent="0.3">
      <c r="A168" s="12"/>
      <c r="B168" s="13">
        <v>46047</v>
      </c>
      <c r="C168" s="17">
        <v>1</v>
      </c>
      <c r="D168" s="12" t="s">
        <v>692</v>
      </c>
      <c r="E168" s="29" t="s">
        <v>753</v>
      </c>
      <c r="F168" s="49" t="str">
        <f>IF(Salidas[[#This Row],[Artículo (código)]]="","",VLOOKUP(Salidas[[#This Row],[Artículo (código)]],Existencias!A:D,4,FALSE))</f>
        <v>Azucar rubia 1kg</v>
      </c>
      <c r="G168" s="12">
        <v>1</v>
      </c>
      <c r="H168" s="12" t="e">
        <f>IF(Salidas[[#This Row],[Artículo (código)]]="","",VLOOKUP(Salidas[[#This Row],[Artículo (código)]],Existencias!A:F,7,FALSE))</f>
        <v>#REF!</v>
      </c>
    </row>
    <row r="169" spans="1:8" x14ac:dyDescent="0.3">
      <c r="A169" s="12"/>
      <c r="B169" s="13">
        <v>46047</v>
      </c>
      <c r="C169" s="17">
        <v>1</v>
      </c>
      <c r="D169" s="12" t="s">
        <v>692</v>
      </c>
      <c r="E169" s="29" t="s">
        <v>916</v>
      </c>
      <c r="F169" s="49" t="str">
        <f>IF(Salidas[[#This Row],[Artículo (código)]]="","",VLOOKUP(Salidas[[#This Row],[Artículo (código)]],Existencias!A:D,4,FALSE))</f>
        <v>Fideos largos 500 gr</v>
      </c>
      <c r="G169" s="12">
        <v>7</v>
      </c>
      <c r="H169" s="12" t="e">
        <f>IF(Salidas[[#This Row],[Artículo (código)]]="","",VLOOKUP(Salidas[[#This Row],[Artículo (código)]],Existencias!A:F,7,FALSE))</f>
        <v>#REF!</v>
      </c>
    </row>
    <row r="170" spans="1:8" x14ac:dyDescent="0.3">
      <c r="A170" s="12"/>
      <c r="B170" s="13">
        <v>46048</v>
      </c>
      <c r="C170" s="17">
        <v>1</v>
      </c>
      <c r="D170" s="12" t="s">
        <v>692</v>
      </c>
      <c r="E170" s="29" t="s">
        <v>788</v>
      </c>
      <c r="F170" s="49" t="str">
        <f>IF(Salidas[[#This Row],[Artículo (código)]]="","",VLOOKUP(Salidas[[#This Row],[Artículo (código)]],Existencias!A:D,4,FALSE))</f>
        <v>Avena  1 kl</v>
      </c>
      <c r="G170" s="12">
        <v>1</v>
      </c>
      <c r="H170" s="12" t="e">
        <f>IF(Salidas[[#This Row],[Artículo (código)]]="","",VLOOKUP(Salidas[[#This Row],[Artículo (código)]],Existencias!A:F,7,FALSE))</f>
        <v>#REF!</v>
      </c>
    </row>
    <row r="171" spans="1:8" x14ac:dyDescent="0.3">
      <c r="A171" s="12"/>
      <c r="B171" s="13">
        <v>46048</v>
      </c>
      <c r="C171" s="17">
        <v>1</v>
      </c>
      <c r="D171" s="12" t="s">
        <v>692</v>
      </c>
      <c r="E171" s="29" t="s">
        <v>1228</v>
      </c>
      <c r="F171" s="49" t="str">
        <f>IF(Salidas[[#This Row],[Artículo (código)]]="","",VLOOKUP(Salidas[[#This Row],[Artículo (código)]],Existencias!A:D,4,FALSE))</f>
        <v>Quinua 5 kg</v>
      </c>
      <c r="G171" s="12">
        <v>0.5</v>
      </c>
      <c r="H171" s="12" t="e">
        <f>IF(Salidas[[#This Row],[Artículo (código)]]="","",VLOOKUP(Salidas[[#This Row],[Artículo (código)]],Existencias!A:F,7,FALSE))</f>
        <v>#REF!</v>
      </c>
    </row>
    <row r="172" spans="1:8" x14ac:dyDescent="0.3">
      <c r="A172" s="12"/>
      <c r="B172" s="13">
        <v>46048</v>
      </c>
      <c r="C172" s="17">
        <v>1</v>
      </c>
      <c r="D172" s="12" t="s">
        <v>692</v>
      </c>
      <c r="E172" s="29" t="s">
        <v>800</v>
      </c>
      <c r="F172" s="49" t="str">
        <f>IF(Salidas[[#This Row],[Artículo (código)]]="","",VLOOKUP(Salidas[[#This Row],[Artículo (código)]],Existencias!A:D,4,FALSE))</f>
        <v xml:space="preserve">Arroz 5 kg </v>
      </c>
      <c r="G172" s="12">
        <v>1</v>
      </c>
      <c r="H172" s="12" t="e">
        <f>IF(Salidas[[#This Row],[Artículo (código)]]="","",VLOOKUP(Salidas[[#This Row],[Artículo (código)]],Existencias!A:F,7,FALSE))</f>
        <v>#REF!</v>
      </c>
    </row>
    <row r="173" spans="1:8" x14ac:dyDescent="0.3">
      <c r="A173" s="12"/>
      <c r="B173" s="13">
        <v>46048</v>
      </c>
      <c r="C173" s="17">
        <v>1</v>
      </c>
      <c r="D173" s="12" t="s">
        <v>692</v>
      </c>
      <c r="E173" s="29" t="s">
        <v>694</v>
      </c>
      <c r="F173" s="49" t="str">
        <f>IF(Salidas[[#This Row],[Artículo (código)]]="","",VLOOKUP(Salidas[[#This Row],[Artículo (código)]],Existencias!A:D,4,FALSE))</f>
        <v>Aceite Vegetal 900 ml</v>
      </c>
      <c r="G173" s="12">
        <v>1</v>
      </c>
      <c r="H173" s="12" t="e">
        <f>IF(Salidas[[#This Row],[Artículo (código)]]="","",VLOOKUP(Salidas[[#This Row],[Artículo (código)]],Existencias!A:F,7,FALSE))</f>
        <v>#REF!</v>
      </c>
    </row>
    <row r="174" spans="1:8" x14ac:dyDescent="0.3">
      <c r="A174" s="12"/>
      <c r="B174" s="13">
        <v>46048</v>
      </c>
      <c r="C174" s="17">
        <v>1</v>
      </c>
      <c r="D174" s="12" t="s">
        <v>692</v>
      </c>
      <c r="E174" s="29" t="s">
        <v>847</v>
      </c>
      <c r="F174" s="49" t="str">
        <f>IF(Salidas[[#This Row],[Artículo (código)]]="","",VLOOKUP(Salidas[[#This Row],[Artículo (código)]],Existencias!A:D,4,FALSE))</f>
        <v>Salsa de tomate 290 gr</v>
      </c>
      <c r="G174" s="12">
        <v>2</v>
      </c>
      <c r="H174" s="12" t="e">
        <f>IF(Salidas[[#This Row],[Artículo (código)]]="","",VLOOKUP(Salidas[[#This Row],[Artículo (código)]],Existencias!A:F,7,FALSE))</f>
        <v>#REF!</v>
      </c>
    </row>
    <row r="175" spans="1:8" x14ac:dyDescent="0.3">
      <c r="A175" s="12"/>
      <c r="B175" s="13">
        <v>46048</v>
      </c>
      <c r="C175" s="17">
        <v>1</v>
      </c>
      <c r="D175" s="12" t="s">
        <v>692</v>
      </c>
      <c r="E175" s="29" t="s">
        <v>1270</v>
      </c>
      <c r="F175" s="49" t="str">
        <f>IF(Salidas[[#This Row],[Artículo (código)]]="","",VLOOKUP(Salidas[[#This Row],[Artículo (código)]],Existencias!A:D,4,FALSE))</f>
        <v>Filete de tilapa x 1kg (01 caja x10 kg)</v>
      </c>
      <c r="G175" s="12">
        <v>8</v>
      </c>
      <c r="H175" s="12" t="e">
        <f>IF(Salidas[[#This Row],[Artículo (código)]]="","",VLOOKUP(Salidas[[#This Row],[Artículo (código)]],Existencias!A:F,7,FALSE))</f>
        <v>#REF!</v>
      </c>
    </row>
    <row r="176" spans="1:8" x14ac:dyDescent="0.3">
      <c r="A176" s="12"/>
      <c r="B176" s="13">
        <v>46048</v>
      </c>
      <c r="C176" s="17">
        <v>1</v>
      </c>
      <c r="D176" s="12" t="s">
        <v>692</v>
      </c>
      <c r="E176" s="29" t="s">
        <v>723</v>
      </c>
      <c r="F176" s="49" t="str">
        <f>IF(Salidas[[#This Row],[Artículo (código)]]="","",VLOOKUP(Salidas[[#This Row],[Artículo (código)]],Existencias!A:D,4,FALSE))</f>
        <v>Pollo fresco entero</v>
      </c>
      <c r="G176" s="12">
        <v>6</v>
      </c>
      <c r="H176" s="12" t="e">
        <f>IF(Salidas[[#This Row],[Artículo (código)]]="","",VLOOKUP(Salidas[[#This Row],[Artículo (código)]],Existencias!A:F,7,FALSE))</f>
        <v>#REF!</v>
      </c>
    </row>
    <row r="177" spans="1:8" x14ac:dyDescent="0.3">
      <c r="A177" s="12"/>
      <c r="B177" s="13">
        <v>46048</v>
      </c>
      <c r="C177" s="17">
        <v>1</v>
      </c>
      <c r="D177" s="12" t="s">
        <v>692</v>
      </c>
      <c r="E177" s="29" t="s">
        <v>919</v>
      </c>
      <c r="F177" s="49" t="str">
        <f>IF(Salidas[[#This Row],[Artículo (código)]]="","",VLOOKUP(Salidas[[#This Row],[Artículo (código)]],Existencias!A:D,4,FALSE))</f>
        <v>Fideos cortos 250 gr</v>
      </c>
      <c r="G177" s="12">
        <v>2</v>
      </c>
      <c r="H177" s="12" t="e">
        <f>IF(Salidas[[#This Row],[Artículo (código)]]="","",VLOOKUP(Salidas[[#This Row],[Artículo (código)]],Existencias!A:F,7,FALSE))</f>
        <v>#REF!</v>
      </c>
    </row>
    <row r="178" spans="1:8" x14ac:dyDescent="0.3">
      <c r="A178" s="12"/>
      <c r="B178" s="13">
        <v>46048</v>
      </c>
      <c r="C178" s="17">
        <v>1</v>
      </c>
      <c r="D178" s="12" t="s">
        <v>692</v>
      </c>
      <c r="E178" s="29" t="s">
        <v>755</v>
      </c>
      <c r="F178" s="49" t="str">
        <f>IF(Salidas[[#This Row],[Artículo (código)]]="","",VLOOKUP(Salidas[[#This Row],[Artículo (código)]],Existencias!A:D,4,FALSE))</f>
        <v>Azucar rubia 5 kg</v>
      </c>
      <c r="G178" s="12">
        <v>1</v>
      </c>
      <c r="H178" s="12" t="e">
        <f>IF(Salidas[[#This Row],[Artículo (código)]]="","",VLOOKUP(Salidas[[#This Row],[Artículo (código)]],Existencias!A:F,7,FALSE))</f>
        <v>#REF!</v>
      </c>
    </row>
    <row r="179" spans="1:8" x14ac:dyDescent="0.3">
      <c r="A179" s="12"/>
      <c r="B179" s="13">
        <v>46048</v>
      </c>
      <c r="C179" s="17">
        <v>1</v>
      </c>
      <c r="D179" s="12" t="s">
        <v>692</v>
      </c>
      <c r="E179" s="29" t="s">
        <v>1212</v>
      </c>
      <c r="F179" s="49" t="str">
        <f>IF(Salidas[[#This Row],[Artículo (código)]]="","",VLOOKUP(Salidas[[#This Row],[Artículo (código)]],Existencias!A:D,4,FALSE))</f>
        <v>Pallar 500 gr</v>
      </c>
      <c r="G179" s="12">
        <v>6</v>
      </c>
      <c r="H179" s="12" t="e">
        <f>IF(Salidas[[#This Row],[Artículo (código)]]="","",VLOOKUP(Salidas[[#This Row],[Artículo (código)]],Existencias!A:F,7,FALSE))</f>
        <v>#REF!</v>
      </c>
    </row>
    <row r="180" spans="1:8" x14ac:dyDescent="0.3">
      <c r="A180" s="12"/>
      <c r="B180" s="13">
        <v>46049</v>
      </c>
      <c r="C180" s="17">
        <v>1</v>
      </c>
      <c r="D180" s="12" t="s">
        <v>692</v>
      </c>
      <c r="E180" s="29" t="s">
        <v>1227</v>
      </c>
      <c r="F180" s="49" t="str">
        <f>IF(Salidas[[#This Row],[Artículo (código)]]="","",VLOOKUP(Salidas[[#This Row],[Artículo (código)]],Existencias!A:D,4,FALSE))</f>
        <v>Quinua 1 kg</v>
      </c>
      <c r="G180" s="12">
        <v>1</v>
      </c>
      <c r="H180" s="12" t="e">
        <f>IF(Salidas[[#This Row],[Artículo (código)]]="","",VLOOKUP(Salidas[[#This Row],[Artículo (código)]],Existencias!A:F,7,FALSE))</f>
        <v>#REF!</v>
      </c>
    </row>
    <row r="181" spans="1:8" x14ac:dyDescent="0.3">
      <c r="A181" s="12"/>
      <c r="B181" s="13">
        <v>46049</v>
      </c>
      <c r="C181" s="17">
        <v>1</v>
      </c>
      <c r="D181" s="12" t="s">
        <v>692</v>
      </c>
      <c r="E181" s="29" t="s">
        <v>989</v>
      </c>
      <c r="F181" s="49" t="str">
        <f>IF(Salidas[[#This Row],[Artículo (código)]]="","",VLOOKUP(Salidas[[#This Row],[Artículo (código)]],Existencias!A:D,4,FALSE))</f>
        <v>Huevo pardo</v>
      </c>
      <c r="G181" s="12">
        <v>24</v>
      </c>
      <c r="H181" s="12" t="e">
        <f>IF(Salidas[[#This Row],[Artículo (código)]]="","",VLOOKUP(Salidas[[#This Row],[Artículo (código)]],Existencias!A:F,7,FALSE))</f>
        <v>#REF!</v>
      </c>
    </row>
    <row r="182" spans="1:8" x14ac:dyDescent="0.3">
      <c r="A182" s="12"/>
      <c r="B182" s="13">
        <v>46049</v>
      </c>
      <c r="C182" s="17">
        <v>1</v>
      </c>
      <c r="D182" s="12" t="s">
        <v>692</v>
      </c>
      <c r="E182" s="29" t="s">
        <v>755</v>
      </c>
      <c r="F182" s="49" t="str">
        <f>IF(Salidas[[#This Row],[Artículo (código)]]="","",VLOOKUP(Salidas[[#This Row],[Artículo (código)]],Existencias!A:D,4,FALSE))</f>
        <v>Azucar rubia 5 kg</v>
      </c>
      <c r="G182" s="12">
        <v>1</v>
      </c>
      <c r="H182" s="12" t="e">
        <f>IF(Salidas[[#This Row],[Artículo (código)]]="","",VLOOKUP(Salidas[[#This Row],[Artículo (código)]],Existencias!A:F,7,FALSE))</f>
        <v>#REF!</v>
      </c>
    </row>
    <row r="183" spans="1:8" x14ac:dyDescent="0.3">
      <c r="A183" s="12"/>
      <c r="B183" s="13">
        <v>46049</v>
      </c>
      <c r="C183" s="17">
        <v>1</v>
      </c>
      <c r="D183" s="12" t="s">
        <v>692</v>
      </c>
      <c r="E183" s="29" t="s">
        <v>800</v>
      </c>
      <c r="F183" s="49" t="str">
        <f>IF(Salidas[[#This Row],[Artículo (código)]]="","",VLOOKUP(Salidas[[#This Row],[Artículo (código)]],Existencias!A:D,4,FALSE))</f>
        <v xml:space="preserve">Arroz 5 kg </v>
      </c>
      <c r="G183" s="12">
        <v>1</v>
      </c>
      <c r="H183" s="12" t="e">
        <f>IF(Salidas[[#This Row],[Artículo (código)]]="","",VLOOKUP(Salidas[[#This Row],[Artículo (código)]],Existencias!A:F,7,FALSE))</f>
        <v>#REF!</v>
      </c>
    </row>
    <row r="184" spans="1:8" x14ac:dyDescent="0.3">
      <c r="A184" s="12"/>
      <c r="B184" s="13">
        <v>46049</v>
      </c>
      <c r="C184" s="17">
        <v>1</v>
      </c>
      <c r="D184" s="12" t="s">
        <v>692</v>
      </c>
      <c r="E184" s="29" t="s">
        <v>1208</v>
      </c>
      <c r="F184" s="49" t="str">
        <f>IF(Salidas[[#This Row],[Artículo (código)]]="","",VLOOKUP(Salidas[[#This Row],[Artículo (código)]],Existencias!A:D,4,FALSE))</f>
        <v>Moron 1 kl</v>
      </c>
      <c r="G184" s="12">
        <v>1</v>
      </c>
      <c r="H184" s="12" t="e">
        <f>IF(Salidas[[#This Row],[Artículo (código)]]="","",VLOOKUP(Salidas[[#This Row],[Artículo (código)]],Existencias!A:F,7,FALSE))</f>
        <v>#REF!</v>
      </c>
    </row>
    <row r="185" spans="1:8" x14ac:dyDescent="0.3">
      <c r="A185" s="12"/>
      <c r="B185" s="13">
        <v>46049</v>
      </c>
      <c r="C185" s="17">
        <v>1</v>
      </c>
      <c r="D185" s="12" t="s">
        <v>692</v>
      </c>
      <c r="E185" s="29" t="s">
        <v>694</v>
      </c>
      <c r="F185" s="49" t="str">
        <f>IF(Salidas[[#This Row],[Artículo (código)]]="","",VLOOKUP(Salidas[[#This Row],[Artículo (código)]],Existencias!A:D,4,FALSE))</f>
        <v>Aceite Vegetal 900 ml</v>
      </c>
      <c r="G185" s="12">
        <v>1</v>
      </c>
      <c r="H185" s="12" t="e">
        <f>IF(Salidas[[#This Row],[Artículo (código)]]="","",VLOOKUP(Salidas[[#This Row],[Artículo (código)]],Existencias!A:F,7,FALSE))</f>
        <v>#REF!</v>
      </c>
    </row>
    <row r="186" spans="1:8" x14ac:dyDescent="0.3">
      <c r="A186" s="12"/>
      <c r="B186" s="13">
        <v>46050</v>
      </c>
      <c r="C186" s="17">
        <v>1</v>
      </c>
      <c r="D186" s="12" t="s">
        <v>692</v>
      </c>
      <c r="E186" s="29" t="s">
        <v>788</v>
      </c>
      <c r="F186" s="49" t="str">
        <f>IF(Salidas[[#This Row],[Artículo (código)]]="","",VLOOKUP(Salidas[[#This Row],[Artículo (código)]],Existencias!A:D,4,FALSE))</f>
        <v>Avena  1 kl</v>
      </c>
      <c r="G186" s="12">
        <v>1</v>
      </c>
      <c r="H186" s="12" t="e">
        <f>IF(Salidas[[#This Row],[Artículo (código)]]="","",VLOOKUP(Salidas[[#This Row],[Artículo (código)]],Existencias!A:F,7,FALSE))</f>
        <v>#REF!</v>
      </c>
    </row>
    <row r="187" spans="1:8" x14ac:dyDescent="0.3">
      <c r="A187" s="12"/>
      <c r="B187" s="13">
        <v>46050</v>
      </c>
      <c r="C187" s="17">
        <v>1</v>
      </c>
      <c r="D187" s="12" t="s">
        <v>692</v>
      </c>
      <c r="E187" s="29" t="s">
        <v>989</v>
      </c>
      <c r="F187" s="49" t="str">
        <f>IF(Salidas[[#This Row],[Artículo (código)]]="","",VLOOKUP(Salidas[[#This Row],[Artículo (código)]],Existencias!A:D,4,FALSE))</f>
        <v>Huevo pardo</v>
      </c>
      <c r="G187" s="12">
        <v>15</v>
      </c>
      <c r="H187" s="12" t="e">
        <f>IF(Salidas[[#This Row],[Artículo (código)]]="","",VLOOKUP(Salidas[[#This Row],[Artículo (código)]],Existencias!A:F,7,FALSE))</f>
        <v>#REF!</v>
      </c>
    </row>
    <row r="188" spans="1:8" x14ac:dyDescent="0.3">
      <c r="A188" s="12"/>
      <c r="B188" s="13">
        <v>46050</v>
      </c>
      <c r="C188" s="17">
        <v>1</v>
      </c>
      <c r="D188" s="12" t="s">
        <v>692</v>
      </c>
      <c r="E188" s="29" t="s">
        <v>800</v>
      </c>
      <c r="F188" s="49" t="str">
        <f>IF(Salidas[[#This Row],[Artículo (código)]]="","",VLOOKUP(Salidas[[#This Row],[Artículo (código)]],Existencias!A:D,4,FALSE))</f>
        <v xml:space="preserve">Arroz 5 kg </v>
      </c>
      <c r="G188" s="12">
        <v>1</v>
      </c>
      <c r="H188" s="12" t="e">
        <f>IF(Salidas[[#This Row],[Artículo (código)]]="","",VLOOKUP(Salidas[[#This Row],[Artículo (código)]],Existencias!A:F,7,FALSE))</f>
        <v>#REF!</v>
      </c>
    </row>
    <row r="189" spans="1:8" x14ac:dyDescent="0.3">
      <c r="A189" s="12"/>
      <c r="B189" s="13">
        <v>46050</v>
      </c>
      <c r="C189" s="17">
        <v>1</v>
      </c>
      <c r="D189" s="12" t="s">
        <v>692</v>
      </c>
      <c r="E189" s="29" t="s">
        <v>799</v>
      </c>
      <c r="F189" s="49" t="str">
        <f>IF(Salidas[[#This Row],[Artículo (código)]]="","",VLOOKUP(Salidas[[#This Row],[Artículo (código)]],Existencias!A:D,4,FALSE))</f>
        <v>Arroz 1 kg</v>
      </c>
      <c r="G189" s="12">
        <v>3</v>
      </c>
      <c r="H189" s="12" t="e">
        <f>IF(Salidas[[#This Row],[Artículo (código)]]="","",VLOOKUP(Salidas[[#This Row],[Artículo (código)]],Existencias!A:F,7,FALSE))</f>
        <v>#REF!</v>
      </c>
    </row>
    <row r="190" spans="1:8" x14ac:dyDescent="0.3">
      <c r="A190" s="12"/>
      <c r="B190" s="13">
        <v>46050</v>
      </c>
      <c r="C190" s="17">
        <v>1</v>
      </c>
      <c r="D190" s="12" t="s">
        <v>692</v>
      </c>
      <c r="E190" s="29" t="s">
        <v>694</v>
      </c>
      <c r="F190" s="49" t="str">
        <f>IF(Salidas[[#This Row],[Artículo (código)]]="","",VLOOKUP(Salidas[[#This Row],[Artículo (código)]],Existencias!A:D,4,FALSE))</f>
        <v>Aceite Vegetal 900 ml</v>
      </c>
      <c r="G190" s="12">
        <v>1</v>
      </c>
      <c r="H190" s="12" t="e">
        <f>IF(Salidas[[#This Row],[Artículo (código)]]="","",VLOOKUP(Salidas[[#This Row],[Artículo (código)]],Existencias!A:F,7,FALSE))</f>
        <v>#REF!</v>
      </c>
    </row>
    <row r="191" spans="1:8" x14ac:dyDescent="0.3">
      <c r="A191" s="12"/>
      <c r="B191" s="13">
        <v>46050</v>
      </c>
      <c r="C191" s="17">
        <v>1</v>
      </c>
      <c r="D191" s="12" t="s">
        <v>692</v>
      </c>
      <c r="E191" s="29" t="s">
        <v>923</v>
      </c>
      <c r="F191" s="49" t="e">
        <f>IF(Salidas[[#This Row],[Artículo (código)]]="","",VLOOKUP(Salidas[[#This Row],[Artículo (código)]],Existencias!A:D,4,FALSE))</f>
        <v>#N/A</v>
      </c>
      <c r="G191" s="12">
        <v>3</v>
      </c>
      <c r="H191" s="12" t="e">
        <f>IF(Salidas[[#This Row],[Artículo (código)]]="","",VLOOKUP(Salidas[[#This Row],[Artículo (código)]],Existencias!A:F,7,FALSE))</f>
        <v>#N/A</v>
      </c>
    </row>
    <row r="192" spans="1:8" x14ac:dyDescent="0.3">
      <c r="A192" s="12"/>
      <c r="B192" s="13">
        <v>46050</v>
      </c>
      <c r="C192" s="17">
        <v>1</v>
      </c>
      <c r="D192" s="12" t="s">
        <v>692</v>
      </c>
      <c r="E192" s="29" t="s">
        <v>709</v>
      </c>
      <c r="F192" s="49" t="str">
        <f>IF(Salidas[[#This Row],[Artículo (código)]]="","",VLOOKUP(Salidas[[#This Row],[Artículo (código)]],Existencias!A:D,4,FALSE))</f>
        <v>Sal Mesa 1kg</v>
      </c>
      <c r="G192" s="12">
        <v>1</v>
      </c>
      <c r="H192" s="12" t="e">
        <f>IF(Salidas[[#This Row],[Artículo (código)]]="","",VLOOKUP(Salidas[[#This Row],[Artículo (código)]],Existencias!A:F,7,FALSE))</f>
        <v>#REF!</v>
      </c>
    </row>
    <row r="193" spans="1:8" x14ac:dyDescent="0.3">
      <c r="A193" s="12"/>
      <c r="B193" s="13">
        <v>46051</v>
      </c>
      <c r="C193" s="17">
        <v>1</v>
      </c>
      <c r="D193" s="12" t="s">
        <v>692</v>
      </c>
      <c r="E193" s="29" t="s">
        <v>788</v>
      </c>
      <c r="F193" s="49" t="str">
        <f>IF(Salidas[[#This Row],[Artículo (código)]]="","",VLOOKUP(Salidas[[#This Row],[Artículo (código)]],Existencias!A:D,4,FALSE))</f>
        <v>Avena  1 kl</v>
      </c>
      <c r="G193" s="12">
        <v>1</v>
      </c>
      <c r="H193" s="12" t="e">
        <f>IF(Salidas[[#This Row],[Artículo (código)]]="","",VLOOKUP(Salidas[[#This Row],[Artículo (código)]],Existencias!A:F,7,FALSE))</f>
        <v>#REF!</v>
      </c>
    </row>
    <row r="194" spans="1:8" x14ac:dyDescent="0.3">
      <c r="A194" s="12"/>
      <c r="B194" s="13">
        <v>46051</v>
      </c>
      <c r="C194" s="17">
        <v>1</v>
      </c>
      <c r="D194" s="12" t="s">
        <v>692</v>
      </c>
      <c r="E194" s="29" t="s">
        <v>989</v>
      </c>
      <c r="F194" s="49" t="str">
        <f>IF(Salidas[[#This Row],[Artículo (código)]]="","",VLOOKUP(Salidas[[#This Row],[Artículo (código)]],Existencias!A:D,4,FALSE))</f>
        <v>Huevo pardo</v>
      </c>
      <c r="G194" s="12">
        <v>1</v>
      </c>
      <c r="H194" s="12" t="e">
        <f>IF(Salidas[[#This Row],[Artículo (código)]]="","",VLOOKUP(Salidas[[#This Row],[Artículo (código)]],Existencias!A:F,7,FALSE))</f>
        <v>#REF!</v>
      </c>
    </row>
    <row r="195" spans="1:8" x14ac:dyDescent="0.3">
      <c r="A195" s="12"/>
      <c r="B195" s="13">
        <v>46051</v>
      </c>
      <c r="C195" s="17">
        <v>1</v>
      </c>
      <c r="D195" s="12" t="s">
        <v>692</v>
      </c>
      <c r="E195" s="29" t="s">
        <v>916</v>
      </c>
      <c r="F195" s="49" t="str">
        <f>IF(Salidas[[#This Row],[Artículo (código)]]="","",VLOOKUP(Salidas[[#This Row],[Artículo (código)]],Existencias!A:D,4,FALSE))</f>
        <v>Fideos largos 500 gr</v>
      </c>
      <c r="G195" s="12">
        <v>8</v>
      </c>
      <c r="H195" s="12" t="e">
        <f>IF(Salidas[[#This Row],[Artículo (código)]]="","",VLOOKUP(Salidas[[#This Row],[Artículo (código)]],Existencias!A:F,7,FALSE))</f>
        <v>#REF!</v>
      </c>
    </row>
    <row r="196" spans="1:8" x14ac:dyDescent="0.3">
      <c r="A196" s="12"/>
      <c r="B196" s="13">
        <v>46051</v>
      </c>
      <c r="C196" s="17">
        <v>1</v>
      </c>
      <c r="D196" s="12" t="s">
        <v>692</v>
      </c>
      <c r="E196" s="29" t="s">
        <v>723</v>
      </c>
      <c r="F196" s="49" t="str">
        <f>IF(Salidas[[#This Row],[Artículo (código)]]="","",VLOOKUP(Salidas[[#This Row],[Artículo (código)]],Existencias!A:D,4,FALSE))</f>
        <v>Pollo fresco entero</v>
      </c>
      <c r="G196" s="12">
        <v>8</v>
      </c>
      <c r="H196" s="12" t="e">
        <f>IF(Salidas[[#This Row],[Artículo (código)]]="","",VLOOKUP(Salidas[[#This Row],[Artículo (código)]],Existencias!A:F,7,FALSE))</f>
        <v>#REF!</v>
      </c>
    </row>
    <row r="197" spans="1:8" x14ac:dyDescent="0.3">
      <c r="A197" s="12"/>
      <c r="B197" s="13">
        <v>46051</v>
      </c>
      <c r="C197" s="17">
        <v>1</v>
      </c>
      <c r="D197" s="12" t="s">
        <v>692</v>
      </c>
      <c r="E197" s="29" t="s">
        <v>694</v>
      </c>
      <c r="F197" s="49" t="str">
        <f>IF(Salidas[[#This Row],[Artículo (código)]]="","",VLOOKUP(Salidas[[#This Row],[Artículo (código)]],Existencias!A:D,4,FALSE))</f>
        <v>Aceite Vegetal 900 ml</v>
      </c>
      <c r="G197" s="12">
        <v>1</v>
      </c>
      <c r="H197" s="12" t="e">
        <f>IF(Salidas[[#This Row],[Artículo (código)]]="","",VLOOKUP(Salidas[[#This Row],[Artículo (código)]],Existencias!A:F,7,FALSE))</f>
        <v>#REF!</v>
      </c>
    </row>
    <row r="198" spans="1:8" x14ac:dyDescent="0.3">
      <c r="A198" s="12"/>
      <c r="B198" s="13">
        <v>46051</v>
      </c>
      <c r="C198" s="17">
        <v>1</v>
      </c>
      <c r="D198" s="12" t="s">
        <v>692</v>
      </c>
      <c r="E198" s="29" t="s">
        <v>704</v>
      </c>
      <c r="F198" s="49" t="str">
        <f>IF(Salidas[[#This Row],[Artículo (código)]]="","",VLOOKUP(Salidas[[#This Row],[Artículo (código)]],Existencias!A:D,4,FALSE))</f>
        <v>Leche Ligth 390 lata</v>
      </c>
      <c r="G198" s="12">
        <v>3</v>
      </c>
      <c r="H198" s="12" t="e">
        <f>IF(Salidas[[#This Row],[Artículo (código)]]="","",VLOOKUP(Salidas[[#This Row],[Artículo (código)]],Existencias!A:F,7,FALSE))</f>
        <v>#REF!</v>
      </c>
    </row>
    <row r="199" spans="1:8" x14ac:dyDescent="0.3">
      <c r="A199" s="12"/>
      <c r="B199" s="13">
        <v>46052</v>
      </c>
      <c r="C199" s="17">
        <v>1</v>
      </c>
      <c r="D199" s="12" t="s">
        <v>692</v>
      </c>
      <c r="E199" s="29" t="s">
        <v>788</v>
      </c>
      <c r="F199" s="49" t="str">
        <f>IF(Salidas[[#This Row],[Artículo (código)]]="","",VLOOKUP(Salidas[[#This Row],[Artículo (código)]],Existencias!A:D,4,FALSE))</f>
        <v>Avena  1 kl</v>
      </c>
      <c r="G199" s="12">
        <v>0.5</v>
      </c>
      <c r="H199" s="12" t="e">
        <f>IF(Salidas[[#This Row],[Artículo (código)]]="","",VLOOKUP(Salidas[[#This Row],[Artículo (código)]],Existencias!A:F,7,FALSE))</f>
        <v>#REF!</v>
      </c>
    </row>
    <row r="200" spans="1:8" x14ac:dyDescent="0.3">
      <c r="A200" s="12"/>
      <c r="B200" s="13">
        <v>46052</v>
      </c>
      <c r="C200" s="17">
        <v>1</v>
      </c>
      <c r="D200" s="12" t="s">
        <v>692</v>
      </c>
      <c r="E200" s="29" t="s">
        <v>989</v>
      </c>
      <c r="F200" s="49" t="str">
        <f>IF(Salidas[[#This Row],[Artículo (código)]]="","",VLOOKUP(Salidas[[#This Row],[Artículo (código)]],Existencias!A:D,4,FALSE))</f>
        <v>Huevo pardo</v>
      </c>
      <c r="G200" s="12">
        <v>40</v>
      </c>
      <c r="H200" s="12" t="e">
        <f>IF(Salidas[[#This Row],[Artículo (código)]]="","",VLOOKUP(Salidas[[#This Row],[Artículo (código)]],Existencias!A:F,7,FALSE))</f>
        <v>#REF!</v>
      </c>
    </row>
    <row r="201" spans="1:8" x14ac:dyDescent="0.3">
      <c r="A201" s="12"/>
      <c r="B201" s="13">
        <v>46052</v>
      </c>
      <c r="C201" s="17">
        <v>1</v>
      </c>
      <c r="D201" s="12" t="s">
        <v>692</v>
      </c>
      <c r="E201" s="29" t="s">
        <v>800</v>
      </c>
      <c r="F201" s="49" t="str">
        <f>IF(Salidas[[#This Row],[Artículo (código)]]="","",VLOOKUP(Salidas[[#This Row],[Artículo (código)]],Existencias!A:D,4,FALSE))</f>
        <v xml:space="preserve">Arroz 5 kg </v>
      </c>
      <c r="G201" s="12">
        <v>1</v>
      </c>
      <c r="H201" s="12" t="e">
        <f>IF(Salidas[[#This Row],[Artículo (código)]]="","",VLOOKUP(Salidas[[#This Row],[Artículo (código)]],Existencias!A:F,7,FALSE))</f>
        <v>#REF!</v>
      </c>
    </row>
    <row r="202" spans="1:8" x14ac:dyDescent="0.3">
      <c r="A202" s="12"/>
      <c r="B202" s="13">
        <v>46052</v>
      </c>
      <c r="C202" s="17">
        <v>1</v>
      </c>
      <c r="D202" s="12" t="s">
        <v>692</v>
      </c>
      <c r="E202" s="29" t="s">
        <v>723</v>
      </c>
      <c r="F202" s="49" t="str">
        <f>IF(Salidas[[#This Row],[Artículo (código)]]="","",VLOOKUP(Salidas[[#This Row],[Artículo (código)]],Existencias!A:D,4,FALSE))</f>
        <v>Pollo fresco entero</v>
      </c>
      <c r="G202" s="12">
        <v>7</v>
      </c>
      <c r="H202" s="12" t="e">
        <f>IF(Salidas[[#This Row],[Artículo (código)]]="","",VLOOKUP(Salidas[[#This Row],[Artículo (código)]],Existencias!A:F,7,FALSE))</f>
        <v>#REF!</v>
      </c>
    </row>
    <row r="203" spans="1:8" x14ac:dyDescent="0.3">
      <c r="A203" s="12"/>
      <c r="B203" s="13">
        <v>46052</v>
      </c>
      <c r="C203" s="17">
        <v>1</v>
      </c>
      <c r="D203" s="12" t="s">
        <v>692</v>
      </c>
      <c r="E203" s="29" t="s">
        <v>777</v>
      </c>
      <c r="F203" s="49" t="str">
        <f>IF(Salidas[[#This Row],[Artículo (código)]]="","",VLOOKUP(Salidas[[#This Row],[Artículo (código)]],Existencias!A:D,4,FALSE))</f>
        <v>bondiola</v>
      </c>
      <c r="G203" s="12">
        <v>8</v>
      </c>
      <c r="H203" s="12" t="e">
        <f>IF(Salidas[[#This Row],[Artículo (código)]]="","",VLOOKUP(Salidas[[#This Row],[Artículo (código)]],Existencias!A:F,7,FALSE))</f>
        <v>#REF!</v>
      </c>
    </row>
    <row r="204" spans="1:8" x14ac:dyDescent="0.3">
      <c r="A204" s="12"/>
      <c r="B204" s="13">
        <v>46052</v>
      </c>
      <c r="C204" s="17">
        <v>1</v>
      </c>
      <c r="D204" s="12" t="s">
        <v>692</v>
      </c>
      <c r="E204" s="29" t="s">
        <v>709</v>
      </c>
      <c r="F204" s="49" t="str">
        <f>IF(Salidas[[#This Row],[Artículo (código)]]="","",VLOOKUP(Salidas[[#This Row],[Artículo (código)]],Existencias!A:D,4,FALSE))</f>
        <v>Sal Mesa 1kg</v>
      </c>
      <c r="G204" s="12">
        <v>2</v>
      </c>
      <c r="H204" s="12" t="e">
        <f>IF(Salidas[[#This Row],[Artículo (código)]]="","",VLOOKUP(Salidas[[#This Row],[Artículo (código)]],Existencias!A:F,7,FALSE))</f>
        <v>#REF!</v>
      </c>
    </row>
    <row r="205" spans="1:8" x14ac:dyDescent="0.3">
      <c r="A205" s="12"/>
      <c r="B205" s="13">
        <v>46052</v>
      </c>
      <c r="C205" s="17">
        <v>1</v>
      </c>
      <c r="D205" s="12" t="s">
        <v>692</v>
      </c>
      <c r="E205" s="29" t="s">
        <v>847</v>
      </c>
      <c r="F205" s="49" t="str">
        <f>IF(Salidas[[#This Row],[Artículo (código)]]="","",VLOOKUP(Salidas[[#This Row],[Artículo (código)]],Existencias!A:D,4,FALSE))</f>
        <v>Salsa de tomate 290 gr</v>
      </c>
      <c r="G205" s="12">
        <v>1</v>
      </c>
      <c r="H205" s="12" t="e">
        <f>IF(Salidas[[#This Row],[Artículo (código)]]="","",VLOOKUP(Salidas[[#This Row],[Artículo (código)]],Existencias!A:F,7,FALSE))</f>
        <v>#REF!</v>
      </c>
    </row>
    <row r="206" spans="1:8" x14ac:dyDescent="0.3">
      <c r="A206" s="12"/>
      <c r="B206" s="13">
        <v>46052</v>
      </c>
      <c r="C206" s="17">
        <v>1</v>
      </c>
      <c r="D206" s="12" t="s">
        <v>692</v>
      </c>
      <c r="E206" s="29" t="s">
        <v>788</v>
      </c>
      <c r="F206" s="49" t="str">
        <f>IF(Salidas[[#This Row],[Artículo (código)]]="","",VLOOKUP(Salidas[[#This Row],[Artículo (código)]],Existencias!A:D,4,FALSE))</f>
        <v>Avena  1 kl</v>
      </c>
      <c r="G206" s="12">
        <v>1</v>
      </c>
      <c r="H206" s="12" t="e">
        <f>IF(Salidas[[#This Row],[Artículo (código)]]="","",VLOOKUP(Salidas[[#This Row],[Artículo (código)]],Existencias!A:F,7,FALSE))</f>
        <v>#REF!</v>
      </c>
    </row>
    <row r="207" spans="1:8" x14ac:dyDescent="0.3">
      <c r="A207" s="12"/>
      <c r="B207" s="13">
        <v>46052</v>
      </c>
      <c r="C207" s="17">
        <v>1</v>
      </c>
      <c r="D207" s="12" t="s">
        <v>692</v>
      </c>
      <c r="E207" s="29" t="s">
        <v>799</v>
      </c>
      <c r="F207" s="49" t="str">
        <f>IF(Salidas[[#This Row],[Artículo (código)]]="","",VLOOKUP(Salidas[[#This Row],[Artículo (código)]],Existencias!A:D,4,FALSE))</f>
        <v>Arroz 1 kg</v>
      </c>
      <c r="G207" s="12">
        <v>1</v>
      </c>
      <c r="H207" s="12" t="e">
        <f>IF(Salidas[[#This Row],[Artículo (código)]]="","",VLOOKUP(Salidas[[#This Row],[Artículo (código)]],Existencias!A:F,7,FALSE))</f>
        <v>#REF!</v>
      </c>
    </row>
    <row r="208" spans="1:8" x14ac:dyDescent="0.3">
      <c r="A208" s="12"/>
      <c r="B208" s="13">
        <v>46052</v>
      </c>
      <c r="C208" s="17">
        <v>1</v>
      </c>
      <c r="D208" s="12" t="s">
        <v>692</v>
      </c>
      <c r="E208" s="29" t="s">
        <v>694</v>
      </c>
      <c r="F208" s="49" t="str">
        <f>IF(Salidas[[#This Row],[Artículo (código)]]="","",VLOOKUP(Salidas[[#This Row],[Artículo (código)]],Existencias!A:D,4,FALSE))</f>
        <v>Aceite Vegetal 900 ml</v>
      </c>
      <c r="G208" s="12">
        <v>1</v>
      </c>
      <c r="H208" s="12" t="e">
        <f>IF(Salidas[[#This Row],[Artículo (código)]]="","",VLOOKUP(Salidas[[#This Row],[Artículo (código)]],Existencias!A:F,7,FALSE))</f>
        <v>#REF!</v>
      </c>
    </row>
    <row r="209" spans="1:8" x14ac:dyDescent="0.3">
      <c r="A209" s="12"/>
      <c r="B209" s="13">
        <v>46054</v>
      </c>
      <c r="C209" s="17">
        <v>1</v>
      </c>
      <c r="D209" s="12" t="s">
        <v>692</v>
      </c>
      <c r="E209" s="29" t="s">
        <v>1226</v>
      </c>
      <c r="F209" s="49" t="str">
        <f>IF(Salidas[[#This Row],[Artículo (código)]]="","",VLOOKUP(Salidas[[#This Row],[Artículo (código)]],Existencias!A:D,4,FALSE))</f>
        <v>Quinua 500 gr</v>
      </c>
      <c r="G209" s="12">
        <v>0.75</v>
      </c>
      <c r="H209" s="12" t="e">
        <f>IF(Salidas[[#This Row],[Artículo (código)]]="","",VLOOKUP(Salidas[[#This Row],[Artículo (código)]],Existencias!A:F,7,FALSE))</f>
        <v>#REF!</v>
      </c>
    </row>
    <row r="210" spans="1:8" x14ac:dyDescent="0.3">
      <c r="A210" s="12"/>
      <c r="B210" s="13">
        <v>46054</v>
      </c>
      <c r="C210" s="17">
        <v>1</v>
      </c>
      <c r="D210" s="12" t="s">
        <v>692</v>
      </c>
      <c r="E210" s="29" t="s">
        <v>800</v>
      </c>
      <c r="F210" s="49" t="str">
        <f>IF(Salidas[[#This Row],[Artículo (código)]]="","",VLOOKUP(Salidas[[#This Row],[Artículo (código)]],Existencias!A:D,4,FALSE))</f>
        <v xml:space="preserve">Arroz 5 kg </v>
      </c>
      <c r="G210" s="12">
        <v>1</v>
      </c>
      <c r="H210" s="12" t="e">
        <f>IF(Salidas[[#This Row],[Artículo (código)]]="","",VLOOKUP(Salidas[[#This Row],[Artículo (código)]],Existencias!A:F,7,FALSE))</f>
        <v>#REF!</v>
      </c>
    </row>
    <row r="211" spans="1:8" x14ac:dyDescent="0.3">
      <c r="A211" s="12"/>
      <c r="B211" s="13">
        <v>46054</v>
      </c>
      <c r="C211" s="17">
        <v>1</v>
      </c>
      <c r="D211" s="12" t="s">
        <v>692</v>
      </c>
      <c r="E211" s="29" t="s">
        <v>694</v>
      </c>
      <c r="F211" s="49" t="str">
        <f>IF(Salidas[[#This Row],[Artículo (código)]]="","",VLOOKUP(Salidas[[#This Row],[Artículo (código)]],Existencias!A:D,4,FALSE))</f>
        <v>Aceite Vegetal 900 ml</v>
      </c>
      <c r="G211" s="12">
        <v>1</v>
      </c>
      <c r="H211" s="12" t="e">
        <f>IF(Salidas[[#This Row],[Artículo (código)]]="","",VLOOKUP(Salidas[[#This Row],[Artículo (código)]],Existencias!A:F,7,FALSE))</f>
        <v>#REF!</v>
      </c>
    </row>
    <row r="212" spans="1:8" x14ac:dyDescent="0.3">
      <c r="A212" s="12"/>
      <c r="B212" s="13">
        <v>46054</v>
      </c>
      <c r="C212" s="17">
        <v>1</v>
      </c>
      <c r="D212" s="12" t="s">
        <v>692</v>
      </c>
      <c r="E212" s="29" t="s">
        <v>1271</v>
      </c>
      <c r="F212" s="49" t="str">
        <f>IF(Salidas[[#This Row],[Artículo (código)]]="","",VLOOKUP(Salidas[[#This Row],[Artículo (código)]],Existencias!A:D,4,FALSE))</f>
        <v>Filete de tilapa x 1kg (04 caja x10 kg)</v>
      </c>
      <c r="G212" s="12">
        <v>5</v>
      </c>
      <c r="H212" s="12" t="e">
        <f>IF(Salidas[[#This Row],[Artículo (código)]]="","",VLOOKUP(Salidas[[#This Row],[Artículo (código)]],Existencias!A:F,7,FALSE))</f>
        <v>#REF!</v>
      </c>
    </row>
    <row r="213" spans="1:8" x14ac:dyDescent="0.3">
      <c r="A213" s="12"/>
      <c r="B213" s="13">
        <v>46055</v>
      </c>
      <c r="C213" s="17">
        <v>1</v>
      </c>
      <c r="D213" s="12" t="s">
        <v>692</v>
      </c>
      <c r="E213" s="29" t="s">
        <v>788</v>
      </c>
      <c r="F213" s="49" t="str">
        <f>IF(Salidas[[#This Row],[Artículo (código)]]="","",VLOOKUP(Salidas[[#This Row],[Artículo (código)]],Existencias!A:D,4,FALSE))</f>
        <v>Avena  1 kl</v>
      </c>
      <c r="G213" s="12">
        <v>1</v>
      </c>
      <c r="H213" s="12" t="e">
        <f>IF(Salidas[[#This Row],[Artículo (código)]]="","",VLOOKUP(Salidas[[#This Row],[Artículo (código)]],Existencias!A:F,7,FALSE))</f>
        <v>#REF!</v>
      </c>
    </row>
    <row r="214" spans="1:8" x14ac:dyDescent="0.3">
      <c r="A214" s="12"/>
      <c r="B214" s="13">
        <v>46055</v>
      </c>
      <c r="C214" s="17">
        <v>1</v>
      </c>
      <c r="D214" s="12" t="s">
        <v>692</v>
      </c>
      <c r="E214" s="29" t="s">
        <v>989</v>
      </c>
      <c r="F214" s="49" t="str">
        <f>IF(Salidas[[#This Row],[Artículo (código)]]="","",VLOOKUP(Salidas[[#This Row],[Artículo (código)]],Existencias!A:D,4,FALSE))</f>
        <v>Huevo pardo</v>
      </c>
      <c r="G214" s="12">
        <v>30</v>
      </c>
      <c r="H214" s="12" t="e">
        <f>IF(Salidas[[#This Row],[Artículo (código)]]="","",VLOOKUP(Salidas[[#This Row],[Artículo (código)]],Existencias!A:F,7,FALSE))</f>
        <v>#REF!</v>
      </c>
    </row>
    <row r="215" spans="1:8" x14ac:dyDescent="0.3">
      <c r="A215" s="12"/>
      <c r="B215" s="13">
        <v>46055</v>
      </c>
      <c r="C215" s="17">
        <v>1</v>
      </c>
      <c r="D215" s="12" t="s">
        <v>692</v>
      </c>
      <c r="E215" s="29" t="s">
        <v>755</v>
      </c>
      <c r="F215" s="49" t="str">
        <f>IF(Salidas[[#This Row],[Artículo (código)]]="","",VLOOKUP(Salidas[[#This Row],[Artículo (código)]],Existencias!A:D,4,FALSE))</f>
        <v>Azucar rubia 5 kg</v>
      </c>
      <c r="G215" s="12">
        <v>1</v>
      </c>
      <c r="H215" s="12" t="e">
        <f>IF(Salidas[[#This Row],[Artículo (código)]]="","",VLOOKUP(Salidas[[#This Row],[Artículo (código)]],Existencias!A:F,7,FALSE))</f>
        <v>#REF!</v>
      </c>
    </row>
    <row r="216" spans="1:8" x14ac:dyDescent="0.3">
      <c r="A216" s="12"/>
      <c r="B216" s="13">
        <v>46055</v>
      </c>
      <c r="C216" s="17">
        <v>1</v>
      </c>
      <c r="D216" s="12" t="s">
        <v>692</v>
      </c>
      <c r="E216" s="29" t="s">
        <v>694</v>
      </c>
      <c r="F216" s="49" t="str">
        <f>IF(Salidas[[#This Row],[Artículo (código)]]="","",VLOOKUP(Salidas[[#This Row],[Artículo (código)]],Existencias!A:D,4,FALSE))</f>
        <v>Aceite Vegetal 900 ml</v>
      </c>
      <c r="G216" s="12">
        <v>1</v>
      </c>
      <c r="H216" s="12" t="e">
        <f>IF(Salidas[[#This Row],[Artículo (código)]]="","",VLOOKUP(Salidas[[#This Row],[Artículo (código)]],Existencias!A:F,7,FALSE))</f>
        <v>#REF!</v>
      </c>
    </row>
    <row r="217" spans="1:8" x14ac:dyDescent="0.3">
      <c r="A217" s="12"/>
      <c r="B217" s="13">
        <v>46055</v>
      </c>
      <c r="C217" s="17">
        <v>1</v>
      </c>
      <c r="D217" s="12" t="s">
        <v>692</v>
      </c>
      <c r="E217" s="29" t="s">
        <v>800</v>
      </c>
      <c r="F217" s="49" t="str">
        <f>IF(Salidas[[#This Row],[Artículo (código)]]="","",VLOOKUP(Salidas[[#This Row],[Artículo (código)]],Existencias!A:D,4,FALSE))</f>
        <v xml:space="preserve">Arroz 5 kg </v>
      </c>
      <c r="G217" s="12">
        <v>2</v>
      </c>
      <c r="H217" s="12" t="e">
        <f>IF(Salidas[[#This Row],[Artículo (código)]]="","",VLOOKUP(Salidas[[#This Row],[Artículo (código)]],Existencias!A:F,7,FALSE))</f>
        <v>#REF!</v>
      </c>
    </row>
    <row r="218" spans="1:8" x14ac:dyDescent="0.3">
      <c r="A218" s="12"/>
      <c r="B218" s="13">
        <v>46055</v>
      </c>
      <c r="C218" s="17">
        <v>1</v>
      </c>
      <c r="D218" s="12" t="s">
        <v>692</v>
      </c>
      <c r="E218" s="29" t="s">
        <v>723</v>
      </c>
      <c r="F218" s="49" t="str">
        <f>IF(Salidas[[#This Row],[Artículo (código)]]="","",VLOOKUP(Salidas[[#This Row],[Artículo (código)]],Existencias!A:D,4,FALSE))</f>
        <v>Pollo fresco entero</v>
      </c>
      <c r="G218" s="12">
        <v>10</v>
      </c>
      <c r="H218" s="12" t="e">
        <f>IF(Salidas[[#This Row],[Artículo (código)]]="","",VLOOKUP(Salidas[[#This Row],[Artículo (código)]],Existencias!A:F,7,FALSE))</f>
        <v>#REF!</v>
      </c>
    </row>
    <row r="219" spans="1:8" x14ac:dyDescent="0.3">
      <c r="A219" s="12"/>
      <c r="B219" s="13">
        <v>46056</v>
      </c>
      <c r="C219" s="17">
        <v>1</v>
      </c>
      <c r="D219" s="12" t="s">
        <v>692</v>
      </c>
      <c r="E219" s="29" t="s">
        <v>788</v>
      </c>
      <c r="F219" s="49" t="str">
        <f>IF(Salidas[[#This Row],[Artículo (código)]]="","",VLOOKUP(Salidas[[#This Row],[Artículo (código)]],Existencias!A:D,4,FALSE))</f>
        <v>Avena  1 kl</v>
      </c>
      <c r="G219" s="12">
        <v>1</v>
      </c>
      <c r="H219" s="12" t="e">
        <f>IF(Salidas[[#This Row],[Artículo (código)]]="","",VLOOKUP(Salidas[[#This Row],[Artículo (código)]],Existencias!A:F,7,FALSE))</f>
        <v>#REF!</v>
      </c>
    </row>
    <row r="220" spans="1:8" x14ac:dyDescent="0.3">
      <c r="A220" s="12"/>
      <c r="B220" s="13">
        <v>46056</v>
      </c>
      <c r="C220" s="17">
        <v>1</v>
      </c>
      <c r="D220" s="12" t="s">
        <v>692</v>
      </c>
      <c r="E220" s="29" t="s">
        <v>989</v>
      </c>
      <c r="F220" s="49" t="str">
        <f>IF(Salidas[[#This Row],[Artículo (código)]]="","",VLOOKUP(Salidas[[#This Row],[Artículo (código)]],Existencias!A:D,4,FALSE))</f>
        <v>Huevo pardo</v>
      </c>
      <c r="G220" s="12">
        <v>18</v>
      </c>
      <c r="H220" s="12" t="e">
        <f>IF(Salidas[[#This Row],[Artículo (código)]]="","",VLOOKUP(Salidas[[#This Row],[Artículo (código)]],Existencias!A:F,7,FALSE))</f>
        <v>#REF!</v>
      </c>
    </row>
    <row r="221" spans="1:8" x14ac:dyDescent="0.3">
      <c r="A221" s="12"/>
      <c r="B221" s="13">
        <v>46056</v>
      </c>
      <c r="C221" s="17">
        <v>1</v>
      </c>
      <c r="D221" s="12" t="s">
        <v>692</v>
      </c>
      <c r="E221" s="29" t="s">
        <v>723</v>
      </c>
      <c r="F221" s="49" t="str">
        <f>IF(Salidas[[#This Row],[Artículo (código)]]="","",VLOOKUP(Salidas[[#This Row],[Artículo (código)]],Existencias!A:D,4,FALSE))</f>
        <v>Pollo fresco entero</v>
      </c>
      <c r="G221" s="12">
        <v>5</v>
      </c>
      <c r="H221" s="12" t="e">
        <f>IF(Salidas[[#This Row],[Artículo (código)]]="","",VLOOKUP(Salidas[[#This Row],[Artículo (código)]],Existencias!A:F,7,FALSE))</f>
        <v>#REF!</v>
      </c>
    </row>
    <row r="222" spans="1:8" x14ac:dyDescent="0.3">
      <c r="A222" s="12"/>
      <c r="B222" s="13">
        <v>46056</v>
      </c>
      <c r="C222" s="17">
        <v>1</v>
      </c>
      <c r="D222" s="12" t="s">
        <v>692</v>
      </c>
      <c r="E222" s="29" t="s">
        <v>694</v>
      </c>
      <c r="F222" s="49" t="str">
        <f>IF(Salidas[[#This Row],[Artículo (código)]]="","",VLOOKUP(Salidas[[#This Row],[Artículo (código)]],Existencias!A:D,4,FALSE))</f>
        <v>Aceite Vegetal 900 ml</v>
      </c>
      <c r="G222" s="12">
        <v>1</v>
      </c>
      <c r="H222" s="12" t="e">
        <f>IF(Salidas[[#This Row],[Artículo (código)]]="","",VLOOKUP(Salidas[[#This Row],[Artículo (código)]],Existencias!A:F,7,FALSE))</f>
        <v>#REF!</v>
      </c>
    </row>
    <row r="223" spans="1:8" x14ac:dyDescent="0.3">
      <c r="A223" s="12"/>
      <c r="B223" s="13">
        <v>46056</v>
      </c>
      <c r="C223" s="17">
        <v>1</v>
      </c>
      <c r="D223" s="12" t="s">
        <v>692</v>
      </c>
      <c r="E223" s="29" t="s">
        <v>800</v>
      </c>
      <c r="F223" s="49" t="str">
        <f>IF(Salidas[[#This Row],[Artículo (código)]]="","",VLOOKUP(Salidas[[#This Row],[Artículo (código)]],Existencias!A:D,4,FALSE))</f>
        <v xml:space="preserve">Arroz 5 kg </v>
      </c>
      <c r="G223" s="12">
        <v>1</v>
      </c>
      <c r="H223" s="12" t="e">
        <f>IF(Salidas[[#This Row],[Artículo (código)]]="","",VLOOKUP(Salidas[[#This Row],[Artículo (código)]],Existencias!A:F,7,FALSE))</f>
        <v>#REF!</v>
      </c>
    </row>
    <row r="224" spans="1:8" x14ac:dyDescent="0.3">
      <c r="A224" s="12"/>
      <c r="B224" s="13">
        <v>46056</v>
      </c>
      <c r="C224" s="17">
        <v>1</v>
      </c>
      <c r="D224" s="12" t="s">
        <v>692</v>
      </c>
      <c r="E224" s="29" t="s">
        <v>1246</v>
      </c>
      <c r="F224" s="49" t="str">
        <f>IF(Salidas[[#This Row],[Artículo (código)]]="","",VLOOKUP(Salidas[[#This Row],[Artículo (código)]],Existencias!A:D,4,FALSE))</f>
        <v>Semola 200 gr</v>
      </c>
      <c r="G224" s="12">
        <v>2</v>
      </c>
      <c r="H224" s="12" t="e">
        <f>IF(Salidas[[#This Row],[Artículo (código)]]="","",VLOOKUP(Salidas[[#This Row],[Artículo (código)]],Existencias!A:F,7,FALSE))</f>
        <v>#REF!</v>
      </c>
    </row>
    <row r="225" spans="1:8" x14ac:dyDescent="0.3">
      <c r="A225" s="12"/>
      <c r="B225" s="13">
        <v>46057</v>
      </c>
      <c r="C225" s="17">
        <v>1</v>
      </c>
      <c r="D225" s="12" t="s">
        <v>692</v>
      </c>
      <c r="E225" s="29" t="s">
        <v>788</v>
      </c>
      <c r="F225" s="49" t="str">
        <f>IF(Salidas[[#This Row],[Artículo (código)]]="","",VLOOKUP(Salidas[[#This Row],[Artículo (código)]],Existencias!A:D,4,FALSE))</f>
        <v>Avena  1 kl</v>
      </c>
      <c r="G225" s="12">
        <v>1</v>
      </c>
      <c r="H225" s="12" t="e">
        <f>IF(Salidas[[#This Row],[Artículo (código)]]="","",VLOOKUP(Salidas[[#This Row],[Artículo (código)]],Existencias!A:F,7,FALSE))</f>
        <v>#REF!</v>
      </c>
    </row>
    <row r="226" spans="1:8" x14ac:dyDescent="0.3">
      <c r="A226" s="12"/>
      <c r="B226" s="13">
        <v>46057</v>
      </c>
      <c r="C226" s="17">
        <v>1</v>
      </c>
      <c r="D226" s="12" t="s">
        <v>692</v>
      </c>
      <c r="E226" s="29" t="s">
        <v>989</v>
      </c>
      <c r="F226" s="49" t="str">
        <f>IF(Salidas[[#This Row],[Artículo (código)]]="","",VLOOKUP(Salidas[[#This Row],[Artículo (código)]],Existencias!A:D,4,FALSE))</f>
        <v>Huevo pardo</v>
      </c>
      <c r="G226" s="12">
        <v>5</v>
      </c>
      <c r="H226" s="12" t="e">
        <f>IF(Salidas[[#This Row],[Artículo (código)]]="","",VLOOKUP(Salidas[[#This Row],[Artículo (código)]],Existencias!A:F,7,FALSE))</f>
        <v>#REF!</v>
      </c>
    </row>
    <row r="227" spans="1:8" x14ac:dyDescent="0.3">
      <c r="A227" s="12"/>
      <c r="B227" s="13">
        <v>46057</v>
      </c>
      <c r="C227" s="17">
        <v>1</v>
      </c>
      <c r="D227" s="12" t="s">
        <v>692</v>
      </c>
      <c r="E227" s="29" t="s">
        <v>800</v>
      </c>
      <c r="F227" s="49" t="str">
        <f>IF(Salidas[[#This Row],[Artículo (código)]]="","",VLOOKUP(Salidas[[#This Row],[Artículo (código)]],Existencias!A:D,4,FALSE))</f>
        <v xml:space="preserve">Arroz 5 kg </v>
      </c>
      <c r="G227" s="12">
        <v>1</v>
      </c>
      <c r="H227" s="12" t="e">
        <f>IF(Salidas[[#This Row],[Artículo (código)]]="","",VLOOKUP(Salidas[[#This Row],[Artículo (código)]],Existencias!A:F,7,FALSE))</f>
        <v>#REF!</v>
      </c>
    </row>
    <row r="228" spans="1:8" x14ac:dyDescent="0.3">
      <c r="A228" s="12"/>
      <c r="B228" s="13">
        <v>46057</v>
      </c>
      <c r="C228" s="17">
        <v>1</v>
      </c>
      <c r="D228" s="12" t="s">
        <v>692</v>
      </c>
      <c r="E228" s="29" t="s">
        <v>694</v>
      </c>
      <c r="F228" s="49" t="str">
        <f>IF(Salidas[[#This Row],[Artículo (código)]]="","",VLOOKUP(Salidas[[#This Row],[Artículo (código)]],Existencias!A:D,4,FALSE))</f>
        <v>Aceite Vegetal 900 ml</v>
      </c>
      <c r="G228" s="12">
        <v>1</v>
      </c>
      <c r="H228" s="12" t="e">
        <f>IF(Salidas[[#This Row],[Artículo (código)]]="","",VLOOKUP(Salidas[[#This Row],[Artículo (código)]],Existencias!A:F,7,FALSE))</f>
        <v>#REF!</v>
      </c>
    </row>
    <row r="229" spans="1:8" x14ac:dyDescent="0.3">
      <c r="A229" s="12"/>
      <c r="B229" s="13">
        <v>46057</v>
      </c>
      <c r="C229" s="17">
        <v>1</v>
      </c>
      <c r="D229" s="12" t="s">
        <v>692</v>
      </c>
      <c r="E229" s="29" t="s">
        <v>847</v>
      </c>
      <c r="F229" s="49" t="str">
        <f>IF(Salidas[[#This Row],[Artículo (código)]]="","",VLOOKUP(Salidas[[#This Row],[Artículo (código)]],Existencias!A:D,4,FALSE))</f>
        <v>Salsa de tomate 290 gr</v>
      </c>
      <c r="G229" s="12">
        <v>2</v>
      </c>
      <c r="H229" s="12" t="e">
        <f>IF(Salidas[[#This Row],[Artículo (código)]]="","",VLOOKUP(Salidas[[#This Row],[Artículo (código)]],Existencias!A:F,7,FALSE))</f>
        <v>#REF!</v>
      </c>
    </row>
    <row r="230" spans="1:8" x14ac:dyDescent="0.3">
      <c r="A230" s="12"/>
      <c r="B230" s="13">
        <v>46057</v>
      </c>
      <c r="C230" s="17">
        <v>1</v>
      </c>
      <c r="D230" s="12" t="s">
        <v>692</v>
      </c>
      <c r="E230" s="29" t="s">
        <v>709</v>
      </c>
      <c r="F230" s="49" t="str">
        <f>IF(Salidas[[#This Row],[Artículo (código)]]="","",VLOOKUP(Salidas[[#This Row],[Artículo (código)]],Existencias!A:D,4,FALSE))</f>
        <v>Sal Mesa 1kg</v>
      </c>
      <c r="G230" s="12">
        <v>2</v>
      </c>
      <c r="H230" s="12" t="e">
        <f>IF(Salidas[[#This Row],[Artículo (código)]]="","",VLOOKUP(Salidas[[#This Row],[Artículo (código)]],Existencias!A:F,7,FALSE))</f>
        <v>#REF!</v>
      </c>
    </row>
    <row r="231" spans="1:8" x14ac:dyDescent="0.3">
      <c r="A231" s="12"/>
      <c r="B231" s="13">
        <v>46057</v>
      </c>
      <c r="C231" s="17">
        <v>1</v>
      </c>
      <c r="D231" s="12" t="s">
        <v>692</v>
      </c>
      <c r="E231" s="29" t="s">
        <v>703</v>
      </c>
      <c r="F231" s="49" t="str">
        <f>IF(Salidas[[#This Row],[Artículo (código)]]="","",VLOOKUP(Salidas[[#This Row],[Artículo (código)]],Existencias!A:D,4,FALSE))</f>
        <v>Leche Evaporada  390 gr lata</v>
      </c>
      <c r="G231" s="12">
        <v>4</v>
      </c>
      <c r="H231" s="12" t="e">
        <f>IF(Salidas[[#This Row],[Artículo (código)]]="","",VLOOKUP(Salidas[[#This Row],[Artículo (código)]],Existencias!A:F,7,FALSE))</f>
        <v>#REF!</v>
      </c>
    </row>
    <row r="232" spans="1:8" x14ac:dyDescent="0.3">
      <c r="A232" s="12"/>
      <c r="B232" s="13">
        <v>46057</v>
      </c>
      <c r="C232" s="17">
        <v>1</v>
      </c>
      <c r="D232" s="12" t="s">
        <v>692</v>
      </c>
      <c r="E232" s="29" t="s">
        <v>723</v>
      </c>
      <c r="F232" s="49" t="str">
        <f>IF(Salidas[[#This Row],[Artículo (código)]]="","",VLOOKUP(Salidas[[#This Row],[Artículo (código)]],Existencias!A:D,4,FALSE))</f>
        <v>Pollo fresco entero</v>
      </c>
      <c r="G232" s="12">
        <v>4</v>
      </c>
      <c r="H232" s="12" t="e">
        <f>IF(Salidas[[#This Row],[Artículo (código)]]="","",VLOOKUP(Salidas[[#This Row],[Artículo (código)]],Existencias!A:F,7,FALSE))</f>
        <v>#REF!</v>
      </c>
    </row>
    <row r="233" spans="1:8" x14ac:dyDescent="0.3">
      <c r="A233" s="12"/>
      <c r="B233" s="13">
        <v>46057</v>
      </c>
      <c r="C233" s="17">
        <v>1</v>
      </c>
      <c r="D233" s="12" t="s">
        <v>692</v>
      </c>
      <c r="E233" s="29" t="s">
        <v>1304</v>
      </c>
      <c r="F233" s="49" t="str">
        <f>IF(Salidas[[#This Row],[Artículo (código)]]="","",VLOOKUP(Salidas[[#This Row],[Artículo (código)]],Existencias!A:D,4,FALSE))</f>
        <v>Guiso</v>
      </c>
      <c r="G233" s="12">
        <v>6</v>
      </c>
      <c r="H233" s="12" t="e">
        <f>IF(Salidas[[#This Row],[Artículo (código)]]="","",VLOOKUP(Salidas[[#This Row],[Artículo (código)]],Existencias!A:F,7,FALSE))</f>
        <v>#REF!</v>
      </c>
    </row>
    <row r="234" spans="1:8" x14ac:dyDescent="0.3">
      <c r="A234" s="12"/>
      <c r="B234" s="13">
        <v>46058</v>
      </c>
      <c r="C234" s="17">
        <v>1</v>
      </c>
      <c r="D234" s="12" t="s">
        <v>692</v>
      </c>
      <c r="E234" s="29" t="s">
        <v>788</v>
      </c>
      <c r="F234" s="49" t="str">
        <f>IF(Salidas[[#This Row],[Artículo (código)]]="","",VLOOKUP(Salidas[[#This Row],[Artículo (código)]],Existencias!A:D,4,FALSE))</f>
        <v>Avena  1 kl</v>
      </c>
      <c r="G234" s="12">
        <v>1</v>
      </c>
      <c r="H234" s="12" t="e">
        <f>IF(Salidas[[#This Row],[Artículo (código)]]="","",VLOOKUP(Salidas[[#This Row],[Artículo (código)]],Existencias!A:F,7,FALSE))</f>
        <v>#REF!</v>
      </c>
    </row>
    <row r="235" spans="1:8" x14ac:dyDescent="0.3">
      <c r="A235" s="12"/>
      <c r="B235" s="13">
        <v>46058</v>
      </c>
      <c r="C235" s="17">
        <v>1</v>
      </c>
      <c r="D235" s="12" t="s">
        <v>692</v>
      </c>
      <c r="E235" s="29" t="s">
        <v>1196</v>
      </c>
      <c r="F235" s="49" t="str">
        <f>IF(Salidas[[#This Row],[Artículo (código)]]="","",VLOOKUP(Salidas[[#This Row],[Artículo (código)]],Existencias!A:D,4,FALSE))</f>
        <v>Lenteja 500 gr</v>
      </c>
      <c r="G235" s="12">
        <v>1</v>
      </c>
      <c r="H235" s="12" t="e">
        <f>IF(Salidas[[#This Row],[Artículo (código)]]="","",VLOOKUP(Salidas[[#This Row],[Artículo (código)]],Existencias!A:F,7,FALSE))</f>
        <v>#REF!</v>
      </c>
    </row>
    <row r="236" spans="1:8" x14ac:dyDescent="0.3">
      <c r="A236" s="12"/>
      <c r="B236" s="13">
        <v>46058</v>
      </c>
      <c r="C236" s="17">
        <v>1</v>
      </c>
      <c r="D236" s="12" t="s">
        <v>692</v>
      </c>
      <c r="E236" s="29" t="s">
        <v>1197</v>
      </c>
      <c r="F236" s="49" t="str">
        <f>IF(Salidas[[#This Row],[Artículo (código)]]="","",VLOOKUP(Salidas[[#This Row],[Artículo (código)]],Existencias!A:D,4,FALSE))</f>
        <v xml:space="preserve">Lenteja 1 kg </v>
      </c>
      <c r="G236" s="12">
        <v>2</v>
      </c>
      <c r="H236" s="12" t="e">
        <f>IF(Salidas[[#This Row],[Artículo (código)]]="","",VLOOKUP(Salidas[[#This Row],[Artículo (código)]],Existencias!A:F,7,FALSE))</f>
        <v>#REF!</v>
      </c>
    </row>
    <row r="237" spans="1:8" x14ac:dyDescent="0.3">
      <c r="A237" s="12"/>
      <c r="B237" s="13">
        <v>46058</v>
      </c>
      <c r="C237" s="17">
        <v>1</v>
      </c>
      <c r="D237" s="12" t="s">
        <v>692</v>
      </c>
      <c r="E237" s="29" t="s">
        <v>847</v>
      </c>
      <c r="F237" s="49" t="str">
        <f>IF(Salidas[[#This Row],[Artículo (código)]]="","",VLOOKUP(Salidas[[#This Row],[Artículo (código)]],Existencias!A:D,4,FALSE))</f>
        <v>Salsa de tomate 290 gr</v>
      </c>
      <c r="G237" s="12">
        <v>1</v>
      </c>
      <c r="H237" s="12" t="e">
        <f>IF(Salidas[[#This Row],[Artículo (código)]]="","",VLOOKUP(Salidas[[#This Row],[Artículo (código)]],Existencias!A:F,7,FALSE))</f>
        <v>#REF!</v>
      </c>
    </row>
    <row r="238" spans="1:8" x14ac:dyDescent="0.3">
      <c r="A238" s="12"/>
      <c r="B238" s="13">
        <v>46058</v>
      </c>
      <c r="C238" s="17">
        <v>1</v>
      </c>
      <c r="D238" s="12" t="s">
        <v>692</v>
      </c>
      <c r="E238" s="29" t="s">
        <v>694</v>
      </c>
      <c r="F238" s="49" t="str">
        <f>IF(Salidas[[#This Row],[Artículo (código)]]="","",VLOOKUP(Salidas[[#This Row],[Artículo (código)]],Existencias!A:D,4,FALSE))</f>
        <v>Aceite Vegetal 900 ml</v>
      </c>
      <c r="G238" s="12">
        <v>1</v>
      </c>
      <c r="H238" s="12" t="e">
        <f>IF(Salidas[[#This Row],[Artículo (código)]]="","",VLOOKUP(Salidas[[#This Row],[Artículo (código)]],Existencias!A:F,7,FALSE))</f>
        <v>#REF!</v>
      </c>
    </row>
    <row r="239" spans="1:8" x14ac:dyDescent="0.3">
      <c r="A239" s="12"/>
      <c r="B239" s="13">
        <v>46058</v>
      </c>
      <c r="C239" s="17">
        <v>1</v>
      </c>
      <c r="D239" s="12" t="s">
        <v>692</v>
      </c>
      <c r="E239" s="29" t="s">
        <v>723</v>
      </c>
      <c r="F239" s="49" t="str">
        <f>IF(Salidas[[#This Row],[Artículo (código)]]="","",VLOOKUP(Salidas[[#This Row],[Artículo (código)]],Existencias!A:D,4,FALSE))</f>
        <v>Pollo fresco entero</v>
      </c>
      <c r="G239" s="12">
        <v>4</v>
      </c>
      <c r="H239" s="12" t="e">
        <f>IF(Salidas[[#This Row],[Artículo (código)]]="","",VLOOKUP(Salidas[[#This Row],[Artículo (código)]],Existencias!A:F,7,FALSE))</f>
        <v>#REF!</v>
      </c>
    </row>
    <row r="240" spans="1:8" x14ac:dyDescent="0.3">
      <c r="A240" s="12"/>
      <c r="B240" s="13">
        <v>46058</v>
      </c>
      <c r="C240" s="17">
        <v>1</v>
      </c>
      <c r="D240" s="12" t="s">
        <v>692</v>
      </c>
      <c r="E240" s="29" t="s">
        <v>989</v>
      </c>
      <c r="F240" s="49" t="str">
        <f>IF(Salidas[[#This Row],[Artículo (código)]]="","",VLOOKUP(Salidas[[#This Row],[Artículo (código)]],Existencias!A:D,4,FALSE))</f>
        <v>Huevo pardo</v>
      </c>
      <c r="G240" s="12">
        <v>40</v>
      </c>
      <c r="H240" s="12" t="e">
        <f>IF(Salidas[[#This Row],[Artículo (código)]]="","",VLOOKUP(Salidas[[#This Row],[Artículo (código)]],Existencias!A:F,7,FALSE))</f>
        <v>#REF!</v>
      </c>
    </row>
    <row r="241" spans="1:8" x14ac:dyDescent="0.3">
      <c r="A241" s="12"/>
      <c r="B241" s="13">
        <v>46059</v>
      </c>
      <c r="C241" s="17">
        <v>1</v>
      </c>
      <c r="D241" s="12" t="s">
        <v>692</v>
      </c>
      <c r="E241" s="29" t="s">
        <v>788</v>
      </c>
      <c r="F241" s="49" t="str">
        <f>IF(Salidas[[#This Row],[Artículo (código)]]="","",VLOOKUP(Salidas[[#This Row],[Artículo (código)]],Existencias!A:D,4,FALSE))</f>
        <v>Avena  1 kl</v>
      </c>
      <c r="G241" s="12">
        <v>1</v>
      </c>
      <c r="H241" s="12" t="e">
        <f>IF(Salidas[[#This Row],[Artículo (código)]]="","",VLOOKUP(Salidas[[#This Row],[Artículo (código)]],Existencias!A:F,7,FALSE))</f>
        <v>#REF!</v>
      </c>
    </row>
    <row r="242" spans="1:8" x14ac:dyDescent="0.3">
      <c r="A242" s="12"/>
      <c r="B242" s="13">
        <v>46059</v>
      </c>
      <c r="C242" s="17">
        <v>1</v>
      </c>
      <c r="D242" s="12" t="s">
        <v>692</v>
      </c>
      <c r="E242" s="29" t="s">
        <v>989</v>
      </c>
      <c r="F242" s="49" t="str">
        <f>IF(Salidas[[#This Row],[Artículo (código)]]="","",VLOOKUP(Salidas[[#This Row],[Artículo (código)]],Existencias!A:D,4,FALSE))</f>
        <v>Huevo pardo</v>
      </c>
      <c r="G242" s="12">
        <v>5</v>
      </c>
      <c r="H242" s="12" t="e">
        <f>IF(Salidas[[#This Row],[Artículo (código)]]="","",VLOOKUP(Salidas[[#This Row],[Artículo (código)]],Existencias!A:F,7,FALSE))</f>
        <v>#REF!</v>
      </c>
    </row>
    <row r="243" spans="1:8" x14ac:dyDescent="0.3">
      <c r="A243" s="12"/>
      <c r="B243" s="13">
        <v>46059</v>
      </c>
      <c r="C243" s="17">
        <v>1</v>
      </c>
      <c r="D243" s="12" t="s">
        <v>692</v>
      </c>
      <c r="E243" s="29" t="s">
        <v>755</v>
      </c>
      <c r="F243" s="49" t="str">
        <f>IF(Salidas[[#This Row],[Artículo (código)]]="","",VLOOKUP(Salidas[[#This Row],[Artículo (código)]],Existencias!A:D,4,FALSE))</f>
        <v>Azucar rubia 5 kg</v>
      </c>
      <c r="G243" s="12">
        <v>1</v>
      </c>
      <c r="H243" s="12" t="e">
        <f>IF(Salidas[[#This Row],[Artículo (código)]]="","",VLOOKUP(Salidas[[#This Row],[Artículo (código)]],Existencias!A:F,7,FALSE))</f>
        <v>#REF!</v>
      </c>
    </row>
    <row r="244" spans="1:8" x14ac:dyDescent="0.3">
      <c r="A244" s="12"/>
      <c r="B244" s="13">
        <v>46059</v>
      </c>
      <c r="C244" s="17">
        <v>1</v>
      </c>
      <c r="D244" s="12" t="s">
        <v>692</v>
      </c>
      <c r="E244" s="29" t="s">
        <v>800</v>
      </c>
      <c r="F244" s="49" t="str">
        <f>IF(Salidas[[#This Row],[Artículo (código)]]="","",VLOOKUP(Salidas[[#This Row],[Artículo (código)]],Existencias!A:D,4,FALSE))</f>
        <v xml:space="preserve">Arroz 5 kg </v>
      </c>
      <c r="G244" s="12">
        <v>1</v>
      </c>
      <c r="H244" s="12" t="e">
        <f>IF(Salidas[[#This Row],[Artículo (código)]]="","",VLOOKUP(Salidas[[#This Row],[Artículo (código)]],Existencias!A:F,7,FALSE))</f>
        <v>#REF!</v>
      </c>
    </row>
    <row r="245" spans="1:8" x14ac:dyDescent="0.3">
      <c r="A245" s="12"/>
      <c r="B245" s="13">
        <v>46059</v>
      </c>
      <c r="C245" s="17">
        <v>1</v>
      </c>
      <c r="D245" s="12" t="s">
        <v>692</v>
      </c>
      <c r="E245" s="29" t="s">
        <v>723</v>
      </c>
      <c r="F245" s="49" t="str">
        <f>IF(Salidas[[#This Row],[Artículo (código)]]="","",VLOOKUP(Salidas[[#This Row],[Artículo (código)]],Existencias!A:D,4,FALSE))</f>
        <v>Pollo fresco entero</v>
      </c>
      <c r="G245" s="12">
        <v>10</v>
      </c>
      <c r="H245" s="12" t="e">
        <f>IF(Salidas[[#This Row],[Artículo (código)]]="","",VLOOKUP(Salidas[[#This Row],[Artículo (código)]],Existencias!A:F,7,FALSE))</f>
        <v>#REF!</v>
      </c>
    </row>
    <row r="246" spans="1:8" x14ac:dyDescent="0.3">
      <c r="A246" s="12"/>
      <c r="B246" s="13">
        <v>46059</v>
      </c>
      <c r="C246" s="17">
        <v>1</v>
      </c>
      <c r="D246" s="12" t="s">
        <v>692</v>
      </c>
      <c r="E246" s="29" t="s">
        <v>828</v>
      </c>
      <c r="F246" s="49" t="str">
        <f>IF(Salidas[[#This Row],[Artículo (código)]]="","",VLOOKUP(Salidas[[#This Row],[Artículo (código)]],Existencias!A:D,4,FALSE))</f>
        <v xml:space="preserve">Canela molida </v>
      </c>
      <c r="G246" s="12">
        <v>5</v>
      </c>
      <c r="H246" s="12" t="e">
        <f>IF(Salidas[[#This Row],[Artículo (código)]]="","",VLOOKUP(Salidas[[#This Row],[Artículo (código)]],Existencias!A:F,7,FALSE))</f>
        <v>#REF!</v>
      </c>
    </row>
    <row r="247" spans="1:8" x14ac:dyDescent="0.3">
      <c r="A247" s="12"/>
      <c r="B247" s="13">
        <v>46059</v>
      </c>
      <c r="C247" s="17">
        <v>1</v>
      </c>
      <c r="D247" s="12" t="s">
        <v>692</v>
      </c>
      <c r="E247" s="29" t="s">
        <v>704</v>
      </c>
      <c r="F247" s="49" t="str">
        <f>IF(Salidas[[#This Row],[Artículo (código)]]="","",VLOOKUP(Salidas[[#This Row],[Artículo (código)]],Existencias!A:D,4,FALSE))</f>
        <v>Leche Ligth 390 lata</v>
      </c>
      <c r="G247" s="12">
        <v>5</v>
      </c>
      <c r="H247" s="12" t="e">
        <f>IF(Salidas[[#This Row],[Artículo (código)]]="","",VLOOKUP(Salidas[[#This Row],[Artículo (código)]],Existencias!A:F,7,FALSE))</f>
        <v>#REF!</v>
      </c>
    </row>
    <row r="248" spans="1:8" x14ac:dyDescent="0.3">
      <c r="A248" s="12"/>
      <c r="B248" s="13">
        <v>46059</v>
      </c>
      <c r="C248" s="17">
        <v>1</v>
      </c>
      <c r="D248" s="12" t="s">
        <v>692</v>
      </c>
      <c r="E248" s="29" t="s">
        <v>694</v>
      </c>
      <c r="F248" s="49" t="str">
        <f>IF(Salidas[[#This Row],[Artículo (código)]]="","",VLOOKUP(Salidas[[#This Row],[Artículo (código)]],Existencias!A:D,4,FALSE))</f>
        <v>Aceite Vegetal 900 ml</v>
      </c>
      <c r="G248" s="12">
        <v>1</v>
      </c>
      <c r="H248" s="12" t="e">
        <f>IF(Salidas[[#This Row],[Artículo (código)]]="","",VLOOKUP(Salidas[[#This Row],[Artículo (código)]],Existencias!A:F,7,FALSE))</f>
        <v>#REF!</v>
      </c>
    </row>
    <row r="249" spans="1:8" x14ac:dyDescent="0.3">
      <c r="A249" s="12"/>
      <c r="B249" s="13">
        <v>46059</v>
      </c>
      <c r="C249" s="17">
        <v>1</v>
      </c>
      <c r="D249" s="12" t="s">
        <v>692</v>
      </c>
      <c r="E249" s="29" t="s">
        <v>923</v>
      </c>
      <c r="F249" s="49" t="e">
        <f>IF(Salidas[[#This Row],[Artículo (código)]]="","",VLOOKUP(Salidas[[#This Row],[Artículo (código)]],Existencias!A:D,4,FALSE))</f>
        <v>#N/A</v>
      </c>
      <c r="G249" s="12">
        <v>3</v>
      </c>
      <c r="H249" s="12" t="e">
        <f>IF(Salidas[[#This Row],[Artículo (código)]]="","",VLOOKUP(Salidas[[#This Row],[Artículo (código)]],Existencias!A:F,7,FALSE))</f>
        <v>#N/A</v>
      </c>
    </row>
    <row r="250" spans="1:8" x14ac:dyDescent="0.3">
      <c r="A250" s="12"/>
      <c r="B250" s="13">
        <v>46060</v>
      </c>
      <c r="C250" s="17">
        <v>1</v>
      </c>
      <c r="D250" s="12" t="s">
        <v>692</v>
      </c>
      <c r="E250" s="29" t="s">
        <v>1227</v>
      </c>
      <c r="F250" s="49" t="str">
        <f>IF(Salidas[[#This Row],[Artículo (código)]]="","",VLOOKUP(Salidas[[#This Row],[Artículo (código)]],Existencias!A:D,4,FALSE))</f>
        <v>Quinua 1 kg</v>
      </c>
      <c r="G250" s="12">
        <v>0.75</v>
      </c>
      <c r="H250" s="12" t="e">
        <f>IF(Salidas[[#This Row],[Artículo (código)]]="","",VLOOKUP(Salidas[[#This Row],[Artículo (código)]],Existencias!A:F,7,FALSE))</f>
        <v>#REF!</v>
      </c>
    </row>
    <row r="251" spans="1:8" x14ac:dyDescent="0.3">
      <c r="A251" s="12"/>
      <c r="B251" s="13">
        <v>46060</v>
      </c>
      <c r="C251" s="17">
        <v>1</v>
      </c>
      <c r="D251" s="12" t="s">
        <v>692</v>
      </c>
      <c r="E251" s="29" t="s">
        <v>800</v>
      </c>
      <c r="F251" s="49" t="str">
        <f>IF(Salidas[[#This Row],[Artículo (código)]]="","",VLOOKUP(Salidas[[#This Row],[Artículo (código)]],Existencias!A:D,4,FALSE))</f>
        <v xml:space="preserve">Arroz 5 kg </v>
      </c>
      <c r="G251" s="12">
        <v>1</v>
      </c>
      <c r="H251" s="12" t="e">
        <f>IF(Salidas[[#This Row],[Artículo (código)]]="","",VLOOKUP(Salidas[[#This Row],[Artículo (código)]],Existencias!A:F,7,FALSE))</f>
        <v>#REF!</v>
      </c>
    </row>
    <row r="252" spans="1:8" x14ac:dyDescent="0.3">
      <c r="A252" s="12"/>
      <c r="B252" s="13">
        <v>46060</v>
      </c>
      <c r="C252" s="17">
        <v>1</v>
      </c>
      <c r="D252" s="12" t="s">
        <v>692</v>
      </c>
      <c r="E252" s="29" t="s">
        <v>1246</v>
      </c>
      <c r="F252" s="49" t="str">
        <f>IF(Salidas[[#This Row],[Artículo (código)]]="","",VLOOKUP(Salidas[[#This Row],[Artículo (código)]],Existencias!A:D,4,FALSE))</f>
        <v>Semola 200 gr</v>
      </c>
      <c r="G252" s="12">
        <v>3</v>
      </c>
      <c r="H252" s="12" t="e">
        <f>IF(Salidas[[#This Row],[Artículo (código)]]="","",VLOOKUP(Salidas[[#This Row],[Artículo (código)]],Existencias!A:F,7,FALSE))</f>
        <v>#REF!</v>
      </c>
    </row>
    <row r="253" spans="1:8" x14ac:dyDescent="0.3">
      <c r="A253" s="12"/>
      <c r="B253" s="13">
        <v>46060</v>
      </c>
      <c r="C253" s="17">
        <v>1</v>
      </c>
      <c r="D253" s="12" t="s">
        <v>692</v>
      </c>
      <c r="E253" s="29" t="s">
        <v>708</v>
      </c>
      <c r="F253" s="49" t="str">
        <f>IF(Salidas[[#This Row],[Artículo (código)]]="","",VLOOKUP(Salidas[[#This Row],[Artículo (código)]],Existencias!A:D,4,FALSE))</f>
        <v>Sal cocina 1kg</v>
      </c>
      <c r="G253" s="12">
        <v>1</v>
      </c>
      <c r="H253" s="12" t="e">
        <f>IF(Salidas[[#This Row],[Artículo (código)]]="","",VLOOKUP(Salidas[[#This Row],[Artículo (código)]],Existencias!A:F,7,FALSE))</f>
        <v>#REF!</v>
      </c>
    </row>
    <row r="254" spans="1:8" x14ac:dyDescent="0.3">
      <c r="A254" s="12"/>
      <c r="B254" s="13">
        <v>46060</v>
      </c>
      <c r="C254" s="17">
        <v>1</v>
      </c>
      <c r="D254" s="12" t="s">
        <v>692</v>
      </c>
      <c r="E254" s="29" t="s">
        <v>723</v>
      </c>
      <c r="F254" s="49" t="str">
        <f>IF(Salidas[[#This Row],[Artículo (código)]]="","",VLOOKUP(Salidas[[#This Row],[Artículo (código)]],Existencias!A:D,4,FALSE))</f>
        <v>Pollo fresco entero</v>
      </c>
      <c r="G254" s="12">
        <v>3</v>
      </c>
      <c r="H254" s="12" t="e">
        <f>IF(Salidas[[#This Row],[Artículo (código)]]="","",VLOOKUP(Salidas[[#This Row],[Artículo (código)]],Existencias!A:F,7,FALSE))</f>
        <v>#REF!</v>
      </c>
    </row>
    <row r="255" spans="1:8" x14ac:dyDescent="0.3">
      <c r="A255" s="12"/>
      <c r="B255" s="13">
        <v>46061</v>
      </c>
      <c r="C255" s="17">
        <v>1</v>
      </c>
      <c r="D255" s="12" t="s">
        <v>692</v>
      </c>
      <c r="E255" s="29" t="s">
        <v>788</v>
      </c>
      <c r="F255" s="49" t="str">
        <f>IF(Salidas[[#This Row],[Artículo (código)]]="","",VLOOKUP(Salidas[[#This Row],[Artículo (código)]],Existencias!A:D,4,FALSE))</f>
        <v>Avena  1 kl</v>
      </c>
      <c r="G255" s="12">
        <v>1</v>
      </c>
      <c r="H255" s="12" t="e">
        <f>IF(Salidas[[#This Row],[Artículo (código)]]="","",VLOOKUP(Salidas[[#This Row],[Artículo (código)]],Existencias!A:F,7,FALSE))</f>
        <v>#REF!</v>
      </c>
    </row>
    <row r="256" spans="1:8" x14ac:dyDescent="0.3">
      <c r="A256" s="12"/>
      <c r="B256" s="13">
        <v>46061</v>
      </c>
      <c r="C256" s="17">
        <v>1</v>
      </c>
      <c r="D256" s="12" t="s">
        <v>692</v>
      </c>
      <c r="E256" s="29" t="s">
        <v>989</v>
      </c>
      <c r="F256" s="49" t="str">
        <f>IF(Salidas[[#This Row],[Artículo (código)]]="","",VLOOKUP(Salidas[[#This Row],[Artículo (código)]],Existencias!A:D,4,FALSE))</f>
        <v>Huevo pardo</v>
      </c>
      <c r="G256" s="12">
        <v>15</v>
      </c>
      <c r="H256" s="12" t="e">
        <f>IF(Salidas[[#This Row],[Artículo (código)]]="","",VLOOKUP(Salidas[[#This Row],[Artículo (código)]],Existencias!A:F,7,FALSE))</f>
        <v>#REF!</v>
      </c>
    </row>
    <row r="257" spans="1:8" x14ac:dyDescent="0.3">
      <c r="A257" s="12"/>
      <c r="B257" s="13">
        <v>46061</v>
      </c>
      <c r="C257" s="17">
        <v>1</v>
      </c>
      <c r="D257" s="12" t="s">
        <v>692</v>
      </c>
      <c r="E257" s="29" t="s">
        <v>800</v>
      </c>
      <c r="F257" s="49" t="str">
        <f>IF(Salidas[[#This Row],[Artículo (código)]]="","",VLOOKUP(Salidas[[#This Row],[Artículo (código)]],Existencias!A:D,4,FALSE))</f>
        <v xml:space="preserve">Arroz 5 kg </v>
      </c>
      <c r="G257" s="12">
        <v>1</v>
      </c>
      <c r="H257" s="12" t="e">
        <f>IF(Salidas[[#This Row],[Artículo (código)]]="","",VLOOKUP(Salidas[[#This Row],[Artículo (código)]],Existencias!A:F,7,FALSE))</f>
        <v>#REF!</v>
      </c>
    </row>
    <row r="258" spans="1:8" x14ac:dyDescent="0.3">
      <c r="A258" s="12"/>
      <c r="B258" s="13">
        <v>46061</v>
      </c>
      <c r="C258" s="17">
        <v>1</v>
      </c>
      <c r="D258" s="12" t="s">
        <v>692</v>
      </c>
      <c r="E258" s="29" t="s">
        <v>847</v>
      </c>
      <c r="F258" s="49" t="str">
        <f>IF(Salidas[[#This Row],[Artículo (código)]]="","",VLOOKUP(Salidas[[#This Row],[Artículo (código)]],Existencias!A:D,4,FALSE))</f>
        <v>Salsa de tomate 290 gr</v>
      </c>
      <c r="G258" s="12">
        <v>6</v>
      </c>
      <c r="H258" s="12" t="e">
        <f>IF(Salidas[[#This Row],[Artículo (código)]]="","",VLOOKUP(Salidas[[#This Row],[Artículo (código)]],Existencias!A:F,7,FALSE))</f>
        <v>#REF!</v>
      </c>
    </row>
    <row r="259" spans="1:8" x14ac:dyDescent="0.3">
      <c r="A259" s="12"/>
      <c r="B259" s="13">
        <v>46061</v>
      </c>
      <c r="C259" s="17">
        <v>1</v>
      </c>
      <c r="D259" s="12" t="s">
        <v>692</v>
      </c>
      <c r="E259" s="29" t="s">
        <v>755</v>
      </c>
      <c r="F259" s="49" t="str">
        <f>IF(Salidas[[#This Row],[Artículo (código)]]="","",VLOOKUP(Salidas[[#This Row],[Artículo (código)]],Existencias!A:D,4,FALSE))</f>
        <v>Azucar rubia 5 kg</v>
      </c>
      <c r="G259" s="12">
        <v>1</v>
      </c>
      <c r="H259" s="12" t="e">
        <f>IF(Salidas[[#This Row],[Artículo (código)]]="","",VLOOKUP(Salidas[[#This Row],[Artículo (código)]],Existencias!A:F,7,FALSE))</f>
        <v>#REF!</v>
      </c>
    </row>
    <row r="260" spans="1:8" x14ac:dyDescent="0.3">
      <c r="A260" s="12"/>
      <c r="B260" s="13">
        <v>46062</v>
      </c>
      <c r="C260" s="17">
        <v>1</v>
      </c>
      <c r="D260" s="12" t="s">
        <v>692</v>
      </c>
      <c r="E260" s="29" t="s">
        <v>788</v>
      </c>
      <c r="F260" s="49" t="str">
        <f>IF(Salidas[[#This Row],[Artículo (código)]]="","",VLOOKUP(Salidas[[#This Row],[Artículo (código)]],Existencias!A:D,4,FALSE))</f>
        <v>Avena  1 kl</v>
      </c>
      <c r="G260" s="12">
        <v>1</v>
      </c>
      <c r="H260" s="12" t="e">
        <f>IF(Salidas[[#This Row],[Artículo (código)]]="","",VLOOKUP(Salidas[[#This Row],[Artículo (código)]],Existencias!A:F,7,FALSE))</f>
        <v>#REF!</v>
      </c>
    </row>
    <row r="261" spans="1:8" x14ac:dyDescent="0.3">
      <c r="A261" s="12"/>
      <c r="B261" s="13">
        <v>46062</v>
      </c>
      <c r="C261" s="17">
        <v>1</v>
      </c>
      <c r="D261" s="12" t="s">
        <v>692</v>
      </c>
      <c r="E261" s="29" t="s">
        <v>989</v>
      </c>
      <c r="F261" s="49" t="str">
        <f>IF(Salidas[[#This Row],[Artículo (código)]]="","",VLOOKUP(Salidas[[#This Row],[Artículo (código)]],Existencias!A:D,4,FALSE))</f>
        <v>Huevo pardo</v>
      </c>
      <c r="G261" s="12">
        <v>5</v>
      </c>
      <c r="H261" s="12" t="e">
        <f>IF(Salidas[[#This Row],[Artículo (código)]]="","",VLOOKUP(Salidas[[#This Row],[Artículo (código)]],Existencias!A:F,7,FALSE))</f>
        <v>#REF!</v>
      </c>
    </row>
    <row r="262" spans="1:8" x14ac:dyDescent="0.3">
      <c r="A262" s="12"/>
      <c r="B262" s="13">
        <v>46062</v>
      </c>
      <c r="C262" s="17">
        <v>1</v>
      </c>
      <c r="D262" s="12" t="s">
        <v>692</v>
      </c>
      <c r="E262" s="29" t="s">
        <v>800</v>
      </c>
      <c r="F262" s="49" t="str">
        <f>IF(Salidas[[#This Row],[Artículo (código)]]="","",VLOOKUP(Salidas[[#This Row],[Artículo (código)]],Existencias!A:D,4,FALSE))</f>
        <v xml:space="preserve">Arroz 5 kg </v>
      </c>
      <c r="G262" s="12">
        <v>1</v>
      </c>
      <c r="H262" s="12" t="e">
        <f>IF(Salidas[[#This Row],[Artículo (código)]]="","",VLOOKUP(Salidas[[#This Row],[Artículo (código)]],Existencias!A:F,7,FALSE))</f>
        <v>#REF!</v>
      </c>
    </row>
    <row r="263" spans="1:8" x14ac:dyDescent="0.3">
      <c r="A263" s="12"/>
      <c r="B263" s="13">
        <v>46062</v>
      </c>
      <c r="C263" s="17">
        <v>1</v>
      </c>
      <c r="D263" s="12" t="s">
        <v>692</v>
      </c>
      <c r="E263" s="29" t="s">
        <v>920</v>
      </c>
      <c r="F263" s="49" t="str">
        <f>IF(Salidas[[#This Row],[Artículo (código)]]="","",VLOOKUP(Salidas[[#This Row],[Artículo (código)]],Existencias!A:D,4,FALSE))</f>
        <v>Fideos cortos 500 gr</v>
      </c>
      <c r="G263" s="12">
        <v>1</v>
      </c>
      <c r="H263" s="12" t="e">
        <f>IF(Salidas[[#This Row],[Artículo (código)]]="","",VLOOKUP(Salidas[[#This Row],[Artículo (código)]],Existencias!A:F,7,FALSE))</f>
        <v>#REF!</v>
      </c>
    </row>
    <row r="264" spans="1:8" x14ac:dyDescent="0.3">
      <c r="A264" s="12"/>
      <c r="B264" s="13">
        <v>46062</v>
      </c>
      <c r="C264" s="17">
        <v>1</v>
      </c>
      <c r="D264" s="12" t="s">
        <v>692</v>
      </c>
      <c r="E264" s="29" t="s">
        <v>723</v>
      </c>
      <c r="F264" s="49" t="str">
        <f>IF(Salidas[[#This Row],[Artículo (código)]]="","",VLOOKUP(Salidas[[#This Row],[Artículo (código)]],Existencias!A:D,4,FALSE))</f>
        <v>Pollo fresco entero</v>
      </c>
      <c r="G264" s="12">
        <v>2</v>
      </c>
      <c r="H264" s="12" t="e">
        <f>IF(Salidas[[#This Row],[Artículo (código)]]="","",VLOOKUP(Salidas[[#This Row],[Artículo (código)]],Existencias!A:F,7,FALSE))</f>
        <v>#REF!</v>
      </c>
    </row>
    <row r="265" spans="1:8" x14ac:dyDescent="0.3">
      <c r="A265" s="12"/>
      <c r="B265" s="13">
        <v>46062</v>
      </c>
      <c r="C265" s="17">
        <v>1</v>
      </c>
      <c r="D265" s="12" t="s">
        <v>692</v>
      </c>
      <c r="E265" s="29" t="s">
        <v>1227</v>
      </c>
      <c r="F265" s="49" t="str">
        <f>IF(Salidas[[#This Row],[Artículo (código)]]="","",VLOOKUP(Salidas[[#This Row],[Artículo (código)]],Existencias!A:D,4,FALSE))</f>
        <v>Quinua 1 kg</v>
      </c>
      <c r="G265" s="12">
        <v>3</v>
      </c>
      <c r="H265" s="12" t="e">
        <f>IF(Salidas[[#This Row],[Artículo (código)]]="","",VLOOKUP(Salidas[[#This Row],[Artículo (código)]],Existencias!A:F,7,FALSE))</f>
        <v>#REF!</v>
      </c>
    </row>
    <row r="266" spans="1:8" x14ac:dyDescent="0.3">
      <c r="A266" s="12"/>
      <c r="B266" s="13">
        <v>46062</v>
      </c>
      <c r="C266" s="17">
        <v>1</v>
      </c>
      <c r="D266" s="12" t="s">
        <v>692</v>
      </c>
      <c r="E266" s="29" t="s">
        <v>694</v>
      </c>
      <c r="F266" s="49" t="str">
        <f>IF(Salidas[[#This Row],[Artículo (código)]]="","",VLOOKUP(Salidas[[#This Row],[Artículo (código)]],Existencias!A:D,4,FALSE))</f>
        <v>Aceite Vegetal 900 ml</v>
      </c>
      <c r="G266" s="12">
        <v>1</v>
      </c>
      <c r="H266" s="12" t="e">
        <f>IF(Salidas[[#This Row],[Artículo (código)]]="","",VLOOKUP(Salidas[[#This Row],[Artículo (código)]],Existencias!A:F,7,FALSE))</f>
        <v>#REF!</v>
      </c>
    </row>
    <row r="267" spans="1:8" x14ac:dyDescent="0.3">
      <c r="A267" s="12"/>
      <c r="B267" s="13">
        <v>46063</v>
      </c>
      <c r="C267" s="17">
        <v>1</v>
      </c>
      <c r="D267" s="12" t="s">
        <v>692</v>
      </c>
      <c r="E267" s="29" t="s">
        <v>788</v>
      </c>
      <c r="F267" s="49" t="str">
        <f>IF(Salidas[[#This Row],[Artículo (código)]]="","",VLOOKUP(Salidas[[#This Row],[Artículo (código)]],Existencias!A:D,4,FALSE))</f>
        <v>Avena  1 kl</v>
      </c>
      <c r="G267" s="12">
        <v>1</v>
      </c>
      <c r="H267" s="12" t="e">
        <f>IF(Salidas[[#This Row],[Artículo (código)]]="","",VLOOKUP(Salidas[[#This Row],[Artículo (código)]],Existencias!A:F,7,FALSE))</f>
        <v>#REF!</v>
      </c>
    </row>
    <row r="268" spans="1:8" x14ac:dyDescent="0.3">
      <c r="A268" s="12"/>
      <c r="B268" s="13">
        <v>46063</v>
      </c>
      <c r="C268" s="17">
        <v>1</v>
      </c>
      <c r="D268" s="12" t="s">
        <v>692</v>
      </c>
      <c r="E268" s="29" t="s">
        <v>1208</v>
      </c>
      <c r="F268" s="49" t="str">
        <f>IF(Salidas[[#This Row],[Artículo (código)]]="","",VLOOKUP(Salidas[[#This Row],[Artículo (código)]],Existencias!A:D,4,FALSE))</f>
        <v>Moron 1 kl</v>
      </c>
      <c r="G268" s="12" t="s">
        <v>1400</v>
      </c>
      <c r="H268" s="12" t="e">
        <f>IF(Salidas[[#This Row],[Artículo (código)]]="","",VLOOKUP(Salidas[[#This Row],[Artículo (código)]],Existencias!A:F,7,FALSE))</f>
        <v>#REF!</v>
      </c>
    </row>
    <row r="269" spans="1:8" x14ac:dyDescent="0.3">
      <c r="A269" s="12"/>
      <c r="B269" s="13">
        <v>46063</v>
      </c>
      <c r="C269" s="17">
        <v>1</v>
      </c>
      <c r="D269" s="12" t="s">
        <v>692</v>
      </c>
      <c r="E269" s="29" t="s">
        <v>723</v>
      </c>
      <c r="F269" s="49" t="str">
        <f>IF(Salidas[[#This Row],[Artículo (código)]]="","",VLOOKUP(Salidas[[#This Row],[Artículo (código)]],Existencias!A:D,4,FALSE))</f>
        <v>Pollo fresco entero</v>
      </c>
      <c r="G269" s="12">
        <v>2</v>
      </c>
      <c r="H269" s="12" t="e">
        <f>IF(Salidas[[#This Row],[Artículo (código)]]="","",VLOOKUP(Salidas[[#This Row],[Artículo (código)]],Existencias!A:F,7,FALSE))</f>
        <v>#REF!</v>
      </c>
    </row>
    <row r="270" spans="1:8" x14ac:dyDescent="0.3">
      <c r="A270" s="12"/>
      <c r="B270" s="13">
        <v>46063</v>
      </c>
      <c r="C270" s="17">
        <v>1</v>
      </c>
      <c r="D270" s="12" t="s">
        <v>692</v>
      </c>
      <c r="E270" s="29" t="s">
        <v>800</v>
      </c>
      <c r="F270" s="49" t="str">
        <f>IF(Salidas[[#This Row],[Artículo (código)]]="","",VLOOKUP(Salidas[[#This Row],[Artículo (código)]],Existencias!A:D,4,FALSE))</f>
        <v xml:space="preserve">Arroz 5 kg </v>
      </c>
      <c r="G270" s="12">
        <v>1</v>
      </c>
      <c r="H270" s="12" t="e">
        <f>IF(Salidas[[#This Row],[Artículo (código)]]="","",VLOOKUP(Salidas[[#This Row],[Artículo (código)]],Existencias!A:F,7,FALSE))</f>
        <v>#REF!</v>
      </c>
    </row>
    <row r="271" spans="1:8" x14ac:dyDescent="0.3">
      <c r="A271" s="12"/>
      <c r="B271" s="13">
        <v>46063</v>
      </c>
      <c r="C271" s="17">
        <v>1</v>
      </c>
      <c r="D271" s="12" t="s">
        <v>692</v>
      </c>
      <c r="E271" s="29" t="s">
        <v>694</v>
      </c>
      <c r="F271" s="49" t="str">
        <f>IF(Salidas[[#This Row],[Artículo (código)]]="","",VLOOKUP(Salidas[[#This Row],[Artículo (código)]],Existencias!A:D,4,FALSE))</f>
        <v>Aceite Vegetal 900 ml</v>
      </c>
      <c r="G271" s="12">
        <v>1</v>
      </c>
      <c r="H271" s="12" t="e">
        <f>IF(Salidas[[#This Row],[Artículo (código)]]="","",VLOOKUP(Salidas[[#This Row],[Artículo (código)]],Existencias!A:F,7,FALSE))</f>
        <v>#REF!</v>
      </c>
    </row>
    <row r="272" spans="1:8" x14ac:dyDescent="0.3">
      <c r="A272" s="12"/>
      <c r="B272" s="13">
        <v>46063</v>
      </c>
      <c r="C272" s="17">
        <v>1</v>
      </c>
      <c r="D272" s="12" t="s">
        <v>692</v>
      </c>
      <c r="E272" s="29" t="s">
        <v>708</v>
      </c>
      <c r="F272" s="49" t="str">
        <f>IF(Salidas[[#This Row],[Artículo (código)]]="","",VLOOKUP(Salidas[[#This Row],[Artículo (código)]],Existencias!A:D,4,FALSE))</f>
        <v>Sal cocina 1kg</v>
      </c>
      <c r="G272" s="12">
        <v>2</v>
      </c>
      <c r="H272" s="12" t="e">
        <f>IF(Salidas[[#This Row],[Artículo (código)]]="","",VLOOKUP(Salidas[[#This Row],[Artículo (código)]],Existencias!A:F,7,FALSE))</f>
        <v>#REF!</v>
      </c>
    </row>
    <row r="273" spans="1:8" x14ac:dyDescent="0.3">
      <c r="A273" s="12"/>
      <c r="B273" s="13">
        <v>46064</v>
      </c>
      <c r="C273" s="17">
        <v>1</v>
      </c>
      <c r="D273" s="12" t="s">
        <v>692</v>
      </c>
      <c r="E273" s="29" t="s">
        <v>788</v>
      </c>
      <c r="F273" s="49" t="str">
        <f>IF(Salidas[[#This Row],[Artículo (código)]]="","",VLOOKUP(Salidas[[#This Row],[Artículo (código)]],Existencias!A:D,4,FALSE))</f>
        <v>Avena  1 kl</v>
      </c>
      <c r="G273" s="12">
        <v>1</v>
      </c>
      <c r="H273" s="12" t="e">
        <f>IF(Salidas[[#This Row],[Artículo (código)]]="","",VLOOKUP(Salidas[[#This Row],[Artículo (código)]],Existencias!A:F,7,FALSE))</f>
        <v>#REF!</v>
      </c>
    </row>
    <row r="274" spans="1:8" x14ac:dyDescent="0.3">
      <c r="A274" s="12"/>
      <c r="B274" s="13">
        <v>46064</v>
      </c>
      <c r="C274" s="17">
        <v>1</v>
      </c>
      <c r="D274" s="12" t="s">
        <v>692</v>
      </c>
      <c r="E274" s="29" t="s">
        <v>989</v>
      </c>
      <c r="F274" s="49" t="str">
        <f>IF(Salidas[[#This Row],[Artículo (código)]]="","",VLOOKUP(Salidas[[#This Row],[Artículo (código)]],Existencias!A:D,4,FALSE))</f>
        <v>Huevo pardo</v>
      </c>
      <c r="G274" s="12">
        <v>20</v>
      </c>
      <c r="H274" s="12" t="e">
        <f>IF(Salidas[[#This Row],[Artículo (código)]]="","",VLOOKUP(Salidas[[#This Row],[Artículo (código)]],Existencias!A:F,7,FALSE))</f>
        <v>#REF!</v>
      </c>
    </row>
    <row r="275" spans="1:8" x14ac:dyDescent="0.3">
      <c r="A275" s="12"/>
      <c r="B275" s="13">
        <v>46064</v>
      </c>
      <c r="C275" s="17">
        <v>1</v>
      </c>
      <c r="D275" s="12" t="s">
        <v>692</v>
      </c>
      <c r="E275" s="29" t="s">
        <v>800</v>
      </c>
      <c r="F275" s="49" t="str">
        <f>IF(Salidas[[#This Row],[Artículo (código)]]="","",VLOOKUP(Salidas[[#This Row],[Artículo (código)]],Existencias!A:D,4,FALSE))</f>
        <v xml:space="preserve">Arroz 5 kg </v>
      </c>
      <c r="G275" s="12">
        <v>1</v>
      </c>
      <c r="H275" s="12" t="e">
        <f>IF(Salidas[[#This Row],[Artículo (código)]]="","",VLOOKUP(Salidas[[#This Row],[Artículo (código)]],Existencias!A:F,7,FALSE))</f>
        <v>#REF!</v>
      </c>
    </row>
    <row r="276" spans="1:8" x14ac:dyDescent="0.3">
      <c r="A276" s="12"/>
      <c r="B276" s="13">
        <v>46064</v>
      </c>
      <c r="C276" s="17">
        <v>1</v>
      </c>
      <c r="D276" s="12" t="s">
        <v>692</v>
      </c>
      <c r="E276" s="29" t="s">
        <v>741</v>
      </c>
      <c r="F276" s="49" t="str">
        <f>IF(Salidas[[#This Row],[Artículo (código)]]="","",VLOOKUP(Salidas[[#This Row],[Artículo (código)]],Existencias!A:D,4,FALSE))</f>
        <v>Medallones de pavo</v>
      </c>
      <c r="G276" s="12">
        <v>3</v>
      </c>
      <c r="H276" s="12" t="e">
        <f>IF(Salidas[[#This Row],[Artículo (código)]]="","",VLOOKUP(Salidas[[#This Row],[Artículo (código)]],Existencias!A:F,7,FALSE))</f>
        <v>#REF!</v>
      </c>
    </row>
    <row r="277" spans="1:8" x14ac:dyDescent="0.3">
      <c r="A277" s="12"/>
      <c r="B277" s="13">
        <v>46064</v>
      </c>
      <c r="C277" s="17">
        <v>1</v>
      </c>
      <c r="D277" s="12" t="s">
        <v>692</v>
      </c>
      <c r="E277" s="29" t="s">
        <v>694</v>
      </c>
      <c r="F277" s="49" t="str">
        <f>IF(Salidas[[#This Row],[Artículo (código)]]="","",VLOOKUP(Salidas[[#This Row],[Artículo (código)]],Existencias!A:D,4,FALSE))</f>
        <v>Aceite Vegetal 900 ml</v>
      </c>
      <c r="G277" s="12">
        <v>2</v>
      </c>
      <c r="H277" s="12" t="e">
        <f>IF(Salidas[[#This Row],[Artículo (código)]]="","",VLOOKUP(Salidas[[#This Row],[Artículo (código)]],Existencias!A:F,7,FALSE))</f>
        <v>#REF!</v>
      </c>
    </row>
    <row r="278" spans="1:8" x14ac:dyDescent="0.3">
      <c r="A278" s="12"/>
      <c r="B278" s="13">
        <v>46064</v>
      </c>
      <c r="C278" s="17">
        <v>1</v>
      </c>
      <c r="D278" s="12" t="s">
        <v>692</v>
      </c>
      <c r="E278" s="29" t="s">
        <v>919</v>
      </c>
      <c r="F278" s="49" t="str">
        <f>IF(Salidas[[#This Row],[Artículo (código)]]="","",VLOOKUP(Salidas[[#This Row],[Artículo (código)]],Existencias!A:D,4,FALSE))</f>
        <v>Fideos cortos 250 gr</v>
      </c>
      <c r="G278" s="12">
        <v>3</v>
      </c>
      <c r="H278" s="12" t="e">
        <f>IF(Salidas[[#This Row],[Artículo (código)]]="","",VLOOKUP(Salidas[[#This Row],[Artículo (código)]],Existencias!A:F,7,FALSE))</f>
        <v>#REF!</v>
      </c>
    </row>
    <row r="279" spans="1:8" x14ac:dyDescent="0.3">
      <c r="A279" s="12"/>
      <c r="B279" s="13">
        <v>46064</v>
      </c>
      <c r="C279" s="17">
        <v>1</v>
      </c>
      <c r="D279" s="12" t="s">
        <v>692</v>
      </c>
      <c r="E279" s="29" t="s">
        <v>949</v>
      </c>
      <c r="F279" s="49" t="str">
        <f>IF(Salidas[[#This Row],[Artículo (código)]]="","",VLOOKUP(Salidas[[#This Row],[Artículo (código)]],Existencias!A:D,4,FALSE))</f>
        <v>GELATINA 160 gr</v>
      </c>
      <c r="G279" s="12">
        <v>4</v>
      </c>
      <c r="H279" s="12" t="e">
        <f>IF(Salidas[[#This Row],[Artículo (código)]]="","",VLOOKUP(Salidas[[#This Row],[Artículo (código)]],Existencias!A:F,7,FALSE))</f>
        <v>#REF!</v>
      </c>
    </row>
    <row r="280" spans="1:8" x14ac:dyDescent="0.3">
      <c r="A280" s="12"/>
      <c r="B280" s="13">
        <v>46065</v>
      </c>
      <c r="C280" s="17">
        <v>1</v>
      </c>
      <c r="D280" s="12" t="s">
        <v>692</v>
      </c>
      <c r="E280" s="29" t="s">
        <v>1227</v>
      </c>
      <c r="F280" s="49" t="str">
        <f>IF(Salidas[[#This Row],[Artículo (código)]]="","",VLOOKUP(Salidas[[#This Row],[Artículo (código)]],Existencias!A:D,4,FALSE))</f>
        <v>Quinua 1 kg</v>
      </c>
      <c r="G280" s="12">
        <v>0.75</v>
      </c>
      <c r="H280" s="12" t="e">
        <f>IF(Salidas[[#This Row],[Artículo (código)]]="","",VLOOKUP(Salidas[[#This Row],[Artículo (código)]],Existencias!A:F,7,FALSE))</f>
        <v>#REF!</v>
      </c>
    </row>
    <row r="281" spans="1:8" x14ac:dyDescent="0.3">
      <c r="A281" s="12"/>
      <c r="B281" s="13">
        <v>46065</v>
      </c>
      <c r="C281" s="17">
        <v>1</v>
      </c>
      <c r="D281" s="12" t="s">
        <v>692</v>
      </c>
      <c r="E281" s="29" t="s">
        <v>755</v>
      </c>
      <c r="F281" s="49" t="str">
        <f>IF(Salidas[[#This Row],[Artículo (código)]]="","",VLOOKUP(Salidas[[#This Row],[Artículo (código)]],Existencias!A:D,4,FALSE))</f>
        <v>Azucar rubia 5 kg</v>
      </c>
      <c r="G281" s="12">
        <v>1</v>
      </c>
      <c r="H281" s="12" t="e">
        <f>IF(Salidas[[#This Row],[Artículo (código)]]="","",VLOOKUP(Salidas[[#This Row],[Artículo (código)]],Existencias!A:F,7,FALSE))</f>
        <v>#REF!</v>
      </c>
    </row>
    <row r="282" spans="1:8" x14ac:dyDescent="0.3">
      <c r="A282" s="12"/>
      <c r="B282" s="13">
        <v>46065</v>
      </c>
      <c r="C282" s="17">
        <v>1</v>
      </c>
      <c r="D282" s="12" t="s">
        <v>692</v>
      </c>
      <c r="E282" s="29" t="s">
        <v>1197</v>
      </c>
      <c r="F282" s="49" t="str">
        <f>IF(Salidas[[#This Row],[Artículo (código)]]="","",VLOOKUP(Salidas[[#This Row],[Artículo (código)]],Existencias!A:D,4,FALSE))</f>
        <v xml:space="preserve">Lenteja 1 kg </v>
      </c>
      <c r="G282" s="12">
        <v>3</v>
      </c>
      <c r="H282" s="12" t="e">
        <f>IF(Salidas[[#This Row],[Artículo (código)]]="","",VLOOKUP(Salidas[[#This Row],[Artículo (código)]],Existencias!A:F,7,FALSE))</f>
        <v>#REF!</v>
      </c>
    </row>
    <row r="283" spans="1:8" x14ac:dyDescent="0.3">
      <c r="A283" s="12"/>
      <c r="B283" s="13">
        <v>46065</v>
      </c>
      <c r="C283" s="17">
        <v>1</v>
      </c>
      <c r="D283" s="12" t="s">
        <v>692</v>
      </c>
      <c r="E283" s="29" t="s">
        <v>723</v>
      </c>
      <c r="F283" s="49" t="str">
        <f>IF(Salidas[[#This Row],[Artículo (código)]]="","",VLOOKUP(Salidas[[#This Row],[Artículo (código)]],Existencias!A:D,4,FALSE))</f>
        <v>Pollo fresco entero</v>
      </c>
      <c r="G283" s="12">
        <v>4</v>
      </c>
      <c r="H283" s="12" t="e">
        <f>IF(Salidas[[#This Row],[Artículo (código)]]="","",VLOOKUP(Salidas[[#This Row],[Artículo (código)]],Existencias!A:F,7,FALSE))</f>
        <v>#REF!</v>
      </c>
    </row>
    <row r="284" spans="1:8" x14ac:dyDescent="0.3">
      <c r="A284" s="12"/>
      <c r="B284" s="13">
        <v>46065</v>
      </c>
      <c r="C284" s="17">
        <v>1</v>
      </c>
      <c r="D284" s="12" t="s">
        <v>692</v>
      </c>
      <c r="E284" s="29" t="s">
        <v>694</v>
      </c>
      <c r="F284" s="49" t="str">
        <f>IF(Salidas[[#This Row],[Artículo (código)]]="","",VLOOKUP(Salidas[[#This Row],[Artículo (código)]],Existencias!A:D,4,FALSE))</f>
        <v>Aceite Vegetal 900 ml</v>
      </c>
      <c r="G284" s="12">
        <v>1</v>
      </c>
      <c r="H284" s="12" t="e">
        <f>IF(Salidas[[#This Row],[Artículo (código)]]="","",VLOOKUP(Salidas[[#This Row],[Artículo (código)]],Existencias!A:F,7,FALSE))</f>
        <v>#REF!</v>
      </c>
    </row>
    <row r="285" spans="1:8" x14ac:dyDescent="0.3">
      <c r="A285" s="12"/>
      <c r="B285" s="13">
        <v>46065</v>
      </c>
      <c r="C285" s="17">
        <v>1</v>
      </c>
      <c r="D285" s="12" t="s">
        <v>692</v>
      </c>
      <c r="E285" s="29" t="s">
        <v>1246</v>
      </c>
      <c r="F285" s="49" t="str">
        <f>IF(Salidas[[#This Row],[Artículo (código)]]="","",VLOOKUP(Salidas[[#This Row],[Artículo (código)]],Existencias!A:D,4,FALSE))</f>
        <v>Semola 200 gr</v>
      </c>
      <c r="G285" s="12">
        <v>2</v>
      </c>
      <c r="H285" s="12" t="e">
        <f>IF(Salidas[[#This Row],[Artículo (código)]]="","",VLOOKUP(Salidas[[#This Row],[Artículo (código)]],Existencias!A:F,7,FALSE))</f>
        <v>#REF!</v>
      </c>
    </row>
    <row r="286" spans="1:8" x14ac:dyDescent="0.3">
      <c r="A286" s="12"/>
      <c r="B286" s="13">
        <v>46065</v>
      </c>
      <c r="C286" s="17">
        <v>1</v>
      </c>
      <c r="D286" s="12" t="s">
        <v>692</v>
      </c>
      <c r="E286" s="29" t="s">
        <v>800</v>
      </c>
      <c r="F286" s="49" t="str">
        <f>IF(Salidas[[#This Row],[Artículo (código)]]="","",VLOOKUP(Salidas[[#This Row],[Artículo (código)]],Existencias!A:D,4,FALSE))</f>
        <v xml:space="preserve">Arroz 5 kg </v>
      </c>
      <c r="G286" s="12">
        <v>1</v>
      </c>
      <c r="H286" s="12" t="e">
        <f>IF(Salidas[[#This Row],[Artículo (código)]]="","",VLOOKUP(Salidas[[#This Row],[Artículo (código)]],Existencias!A:F,7,FALSE))</f>
        <v>#REF!</v>
      </c>
    </row>
    <row r="287" spans="1:8" x14ac:dyDescent="0.3">
      <c r="A287" s="12"/>
      <c r="B287" s="13">
        <v>46065</v>
      </c>
      <c r="C287" s="17">
        <v>1</v>
      </c>
      <c r="D287" s="12" t="s">
        <v>692</v>
      </c>
      <c r="E287" s="29" t="s">
        <v>708</v>
      </c>
      <c r="F287" s="49" t="str">
        <f>IF(Salidas[[#This Row],[Artículo (código)]]="","",VLOOKUP(Salidas[[#This Row],[Artículo (código)]],Existencias!A:D,4,FALSE))</f>
        <v>Sal cocina 1kg</v>
      </c>
      <c r="G287" s="12">
        <v>1</v>
      </c>
      <c r="H287" s="12" t="e">
        <f>IF(Salidas[[#This Row],[Artículo (código)]]="","",VLOOKUP(Salidas[[#This Row],[Artículo (código)]],Existencias!A:F,7,FALSE))</f>
        <v>#REF!</v>
      </c>
    </row>
    <row r="288" spans="1:8" x14ac:dyDescent="0.3">
      <c r="A288" s="12"/>
      <c r="B288" s="13">
        <v>46065</v>
      </c>
      <c r="C288" s="17">
        <v>1</v>
      </c>
      <c r="D288" s="12" t="s">
        <v>692</v>
      </c>
      <c r="E288" s="29" t="s">
        <v>989</v>
      </c>
      <c r="F288" s="49" t="str">
        <f>IF(Salidas[[#This Row],[Artículo (código)]]="","",VLOOKUP(Salidas[[#This Row],[Artículo (código)]],Existencias!A:D,4,FALSE))</f>
        <v>Huevo pardo</v>
      </c>
      <c r="G288" s="12">
        <v>11</v>
      </c>
      <c r="H288" s="12" t="e">
        <f>IF(Salidas[[#This Row],[Artículo (código)]]="","",VLOOKUP(Salidas[[#This Row],[Artículo (código)]],Existencias!A:F,7,FALSE))</f>
        <v>#REF!</v>
      </c>
    </row>
    <row r="289" spans="1:8" x14ac:dyDescent="0.3">
      <c r="A289" s="12"/>
      <c r="B289" s="13">
        <v>46067</v>
      </c>
      <c r="C289" s="17">
        <v>1</v>
      </c>
      <c r="D289" s="12" t="s">
        <v>692</v>
      </c>
      <c r="E289" s="29" t="s">
        <v>788</v>
      </c>
      <c r="F289" s="49" t="str">
        <f>IF(Salidas[[#This Row],[Artículo (código)]]="","",VLOOKUP(Salidas[[#This Row],[Artículo (código)]],Existencias!A:D,4,FALSE))</f>
        <v>Avena  1 kl</v>
      </c>
      <c r="G289" s="12">
        <v>1</v>
      </c>
      <c r="H289" s="12" t="e">
        <f>IF(Salidas[[#This Row],[Artículo (código)]]="","",VLOOKUP(Salidas[[#This Row],[Artículo (código)]],Existencias!A:F,7,FALSE))</f>
        <v>#REF!</v>
      </c>
    </row>
    <row r="290" spans="1:8" x14ac:dyDescent="0.3">
      <c r="A290" s="12"/>
      <c r="B290" s="13">
        <v>46067</v>
      </c>
      <c r="C290" s="17">
        <v>1</v>
      </c>
      <c r="D290" s="12" t="s">
        <v>692</v>
      </c>
      <c r="E290" s="29" t="s">
        <v>989</v>
      </c>
      <c r="F290" s="49" t="str">
        <f>IF(Salidas[[#This Row],[Artículo (código)]]="","",VLOOKUP(Salidas[[#This Row],[Artículo (código)]],Existencias!A:D,4,FALSE))</f>
        <v>Huevo pardo</v>
      </c>
      <c r="G290" s="12">
        <v>15</v>
      </c>
      <c r="H290" s="12" t="e">
        <f>IF(Salidas[[#This Row],[Artículo (código)]]="","",VLOOKUP(Salidas[[#This Row],[Artículo (código)]],Existencias!A:F,7,FALSE))</f>
        <v>#REF!</v>
      </c>
    </row>
    <row r="291" spans="1:8" x14ac:dyDescent="0.3">
      <c r="A291" s="12"/>
      <c r="B291" s="13">
        <v>46067</v>
      </c>
      <c r="C291" s="17">
        <v>1</v>
      </c>
      <c r="D291" s="12" t="s">
        <v>692</v>
      </c>
      <c r="E291" s="29" t="s">
        <v>800</v>
      </c>
      <c r="F291" s="49" t="str">
        <f>IF(Salidas[[#This Row],[Artículo (código)]]="","",VLOOKUP(Salidas[[#This Row],[Artículo (código)]],Existencias!A:D,4,FALSE))</f>
        <v xml:space="preserve">Arroz 5 kg </v>
      </c>
      <c r="G291" s="12">
        <v>1</v>
      </c>
      <c r="H291" s="12" t="e">
        <f>IF(Salidas[[#This Row],[Artículo (código)]]="","",VLOOKUP(Salidas[[#This Row],[Artículo (código)]],Existencias!A:F,7,FALSE))</f>
        <v>#REF!</v>
      </c>
    </row>
    <row r="292" spans="1:8" x14ac:dyDescent="0.3">
      <c r="A292" s="12"/>
      <c r="B292" s="13">
        <v>46067</v>
      </c>
      <c r="C292" s="17">
        <v>1</v>
      </c>
      <c r="D292" s="12" t="s">
        <v>692</v>
      </c>
      <c r="E292" s="29" t="s">
        <v>1164</v>
      </c>
      <c r="F292" s="49" t="str">
        <f>IF(Salidas[[#This Row],[Artículo (código)]]="","",VLOOKUP(Salidas[[#This Row],[Artículo (código)]],Existencias!A:D,4,FALSE))</f>
        <v>Arverja partida 1 kg</v>
      </c>
      <c r="G292" s="12">
        <v>3</v>
      </c>
      <c r="H292" s="12" t="e">
        <f>IF(Salidas[[#This Row],[Artículo (código)]]="","",VLOOKUP(Salidas[[#This Row],[Artículo (código)]],Existencias!A:F,7,FALSE))</f>
        <v>#REF!</v>
      </c>
    </row>
    <row r="293" spans="1:8" x14ac:dyDescent="0.3">
      <c r="A293" s="12"/>
      <c r="B293" s="13">
        <v>46067</v>
      </c>
      <c r="C293" s="17">
        <v>1</v>
      </c>
      <c r="D293" s="12" t="s">
        <v>692</v>
      </c>
      <c r="E293" s="29" t="s">
        <v>723</v>
      </c>
      <c r="F293" s="49" t="str">
        <f>IF(Salidas[[#This Row],[Artículo (código)]]="","",VLOOKUP(Salidas[[#This Row],[Artículo (código)]],Existencias!A:D,4,FALSE))</f>
        <v>Pollo fresco entero</v>
      </c>
      <c r="G293" s="12">
        <v>1</v>
      </c>
      <c r="H293" s="12" t="e">
        <f>IF(Salidas[[#This Row],[Artículo (código)]]="","",VLOOKUP(Salidas[[#This Row],[Artículo (código)]],Existencias!A:F,7,FALSE))</f>
        <v>#REF!</v>
      </c>
    </row>
    <row r="294" spans="1:8" x14ac:dyDescent="0.3">
      <c r="A294" s="12"/>
      <c r="B294" s="13">
        <v>46068</v>
      </c>
      <c r="C294" s="17">
        <v>1</v>
      </c>
      <c r="D294" s="12" t="s">
        <v>692</v>
      </c>
      <c r="E294" s="29" t="s">
        <v>788</v>
      </c>
      <c r="F294" s="49" t="str">
        <f>IF(Salidas[[#This Row],[Artículo (código)]]="","",VLOOKUP(Salidas[[#This Row],[Artículo (código)]],Existencias!A:D,4,FALSE))</f>
        <v>Avena  1 kl</v>
      </c>
      <c r="G294" s="12">
        <v>1</v>
      </c>
      <c r="H294" s="12" t="e">
        <f>IF(Salidas[[#This Row],[Artículo (código)]]="","",VLOOKUP(Salidas[[#This Row],[Artículo (código)]],Existencias!A:F,7,FALSE))</f>
        <v>#REF!</v>
      </c>
    </row>
    <row r="295" spans="1:8" x14ac:dyDescent="0.3">
      <c r="A295" s="12"/>
      <c r="B295" s="13">
        <v>46068</v>
      </c>
      <c r="C295" s="17">
        <v>1</v>
      </c>
      <c r="D295" s="12" t="s">
        <v>692</v>
      </c>
      <c r="E295" s="29" t="s">
        <v>723</v>
      </c>
      <c r="F295" s="49" t="str">
        <f>IF(Salidas[[#This Row],[Artículo (código)]]="","",VLOOKUP(Salidas[[#This Row],[Artículo (código)]],Existencias!A:D,4,FALSE))</f>
        <v>Pollo fresco entero</v>
      </c>
      <c r="G295" s="12">
        <v>3</v>
      </c>
      <c r="H295" s="12" t="e">
        <f>IF(Salidas[[#This Row],[Artículo (código)]]="","",VLOOKUP(Salidas[[#This Row],[Artículo (código)]],Existencias!A:F,7,FALSE))</f>
        <v>#REF!</v>
      </c>
    </row>
    <row r="296" spans="1:8" x14ac:dyDescent="0.3">
      <c r="A296" s="12"/>
      <c r="B296" s="13">
        <v>46068</v>
      </c>
      <c r="C296" s="17">
        <v>1</v>
      </c>
      <c r="D296" s="12" t="s">
        <v>692</v>
      </c>
      <c r="E296" s="29" t="s">
        <v>916</v>
      </c>
      <c r="F296" s="49" t="str">
        <f>IF(Salidas[[#This Row],[Artículo (código)]]="","",VLOOKUP(Salidas[[#This Row],[Artículo (código)]],Existencias!A:D,4,FALSE))</f>
        <v>Fideos largos 500 gr</v>
      </c>
      <c r="G296" s="12">
        <v>11</v>
      </c>
      <c r="H296" s="12" t="e">
        <f>IF(Salidas[[#This Row],[Artículo (código)]]="","",VLOOKUP(Salidas[[#This Row],[Artículo (código)]],Existencias!A:F,7,FALSE))</f>
        <v>#REF!</v>
      </c>
    </row>
    <row r="297" spans="1:8" x14ac:dyDescent="0.3">
      <c r="A297" s="12"/>
      <c r="B297" s="13">
        <v>46068</v>
      </c>
      <c r="C297" s="17">
        <v>1</v>
      </c>
      <c r="D297" s="12" t="s">
        <v>692</v>
      </c>
      <c r="E297" s="29" t="s">
        <v>847</v>
      </c>
      <c r="F297" s="49" t="str">
        <f>IF(Salidas[[#This Row],[Artículo (código)]]="","",VLOOKUP(Salidas[[#This Row],[Artículo (código)]],Existencias!A:D,4,FALSE))</f>
        <v>Salsa de tomate 290 gr</v>
      </c>
      <c r="G297" s="12">
        <v>1</v>
      </c>
      <c r="H297" s="12" t="e">
        <f>IF(Salidas[[#This Row],[Artículo (código)]]="","",VLOOKUP(Salidas[[#This Row],[Artículo (código)]],Existencias!A:F,7,FALSE))</f>
        <v>#REF!</v>
      </c>
    </row>
    <row r="298" spans="1:8" x14ac:dyDescent="0.3">
      <c r="A298" s="12"/>
      <c r="B298" s="13">
        <v>46068</v>
      </c>
      <c r="C298" s="17">
        <v>1</v>
      </c>
      <c r="D298" s="12" t="s">
        <v>692</v>
      </c>
      <c r="E298" s="29" t="s">
        <v>694</v>
      </c>
      <c r="F298" s="49" t="str">
        <f>IF(Salidas[[#This Row],[Artículo (código)]]="","",VLOOKUP(Salidas[[#This Row],[Artículo (código)]],Existencias!A:D,4,FALSE))</f>
        <v>Aceite Vegetal 900 ml</v>
      </c>
      <c r="G298" s="12">
        <v>1</v>
      </c>
      <c r="H298" s="12" t="e">
        <f>IF(Salidas[[#This Row],[Artículo (código)]]="","",VLOOKUP(Salidas[[#This Row],[Artículo (código)]],Existencias!A:F,7,FALSE))</f>
        <v>#REF!</v>
      </c>
    </row>
    <row r="299" spans="1:8" x14ac:dyDescent="0.3">
      <c r="A299" s="12"/>
      <c r="B299" s="13">
        <v>46068</v>
      </c>
      <c r="C299" s="17">
        <v>1</v>
      </c>
      <c r="D299" s="12" t="s">
        <v>692</v>
      </c>
      <c r="E299" s="29" t="s">
        <v>885</v>
      </c>
      <c r="F299" s="49" t="str">
        <f>IF(Salidas[[#This Row],[Artículo (código)]]="","",VLOOKUP(Salidas[[#This Row],[Artículo (código)]],Existencias!A:D,4,FALSE))</f>
        <v>Filete de atun aceite lata</v>
      </c>
      <c r="G299" s="12">
        <v>12</v>
      </c>
      <c r="H299" s="12" t="e">
        <f>IF(Salidas[[#This Row],[Artículo (código)]]="","",VLOOKUP(Salidas[[#This Row],[Artículo (código)]],Existencias!A:F,7,FALSE))</f>
        <v>#REF!</v>
      </c>
    </row>
    <row r="300" spans="1:8" x14ac:dyDescent="0.3">
      <c r="A300" s="12"/>
      <c r="B300" s="13">
        <v>46069</v>
      </c>
      <c r="C300" s="17">
        <v>1</v>
      </c>
      <c r="D300" s="12" t="s">
        <v>692</v>
      </c>
      <c r="E300" s="29" t="s">
        <v>788</v>
      </c>
      <c r="F300" s="49" t="str">
        <f>IF(Salidas[[#This Row],[Artículo (código)]]="","",VLOOKUP(Salidas[[#This Row],[Artículo (código)]],Existencias!A:D,4,FALSE))</f>
        <v>Avena  1 kl</v>
      </c>
      <c r="G300" s="12">
        <v>1</v>
      </c>
      <c r="H300" s="12" t="e">
        <f>IF(Salidas[[#This Row],[Artículo (código)]]="","",VLOOKUP(Salidas[[#This Row],[Artículo (código)]],Existencias!A:F,7,FALSE))</f>
        <v>#REF!</v>
      </c>
    </row>
    <row r="301" spans="1:8" x14ac:dyDescent="0.3">
      <c r="A301" s="12"/>
      <c r="B301" s="13">
        <v>46069</v>
      </c>
      <c r="C301" s="17">
        <v>1</v>
      </c>
      <c r="D301" s="12" t="s">
        <v>692</v>
      </c>
      <c r="E301" s="29" t="s">
        <v>989</v>
      </c>
      <c r="F301" s="49" t="str">
        <f>IF(Salidas[[#This Row],[Artículo (código)]]="","",VLOOKUP(Salidas[[#This Row],[Artículo (código)]],Existencias!A:D,4,FALSE))</f>
        <v>Huevo pardo</v>
      </c>
      <c r="G301" s="12">
        <v>5</v>
      </c>
      <c r="H301" s="12" t="e">
        <f>IF(Salidas[[#This Row],[Artículo (código)]]="","",VLOOKUP(Salidas[[#This Row],[Artículo (código)]],Existencias!A:F,7,FALSE))</f>
        <v>#REF!</v>
      </c>
    </row>
    <row r="302" spans="1:8" x14ac:dyDescent="0.3">
      <c r="A302" s="12"/>
      <c r="B302" s="13">
        <v>46069</v>
      </c>
      <c r="C302" s="17">
        <v>1</v>
      </c>
      <c r="D302" s="12" t="s">
        <v>692</v>
      </c>
      <c r="E302" s="29" t="s">
        <v>800</v>
      </c>
      <c r="F302" s="49" t="str">
        <f>IF(Salidas[[#This Row],[Artículo (código)]]="","",VLOOKUP(Salidas[[#This Row],[Artículo (código)]],Existencias!A:D,4,FALSE))</f>
        <v xml:space="preserve">Arroz 5 kg </v>
      </c>
      <c r="G302" s="12">
        <v>1</v>
      </c>
      <c r="H302" s="12" t="e">
        <f>IF(Salidas[[#This Row],[Artículo (código)]]="","",VLOOKUP(Salidas[[#This Row],[Artículo (código)]],Existencias!A:F,7,FALSE))</f>
        <v>#REF!</v>
      </c>
    </row>
    <row r="303" spans="1:8" x14ac:dyDescent="0.3">
      <c r="A303" s="12"/>
      <c r="B303" s="13">
        <v>46069</v>
      </c>
      <c r="C303" s="17">
        <v>1</v>
      </c>
      <c r="D303" s="12" t="s">
        <v>692</v>
      </c>
      <c r="E303" s="29" t="s">
        <v>847</v>
      </c>
      <c r="F303" s="49" t="str">
        <f>IF(Salidas[[#This Row],[Artículo (código)]]="","",VLOOKUP(Salidas[[#This Row],[Artículo (código)]],Existencias!A:D,4,FALSE))</f>
        <v>Salsa de tomate 290 gr</v>
      </c>
      <c r="G303" s="12">
        <v>1</v>
      </c>
      <c r="H303" s="12" t="e">
        <f>IF(Salidas[[#This Row],[Artículo (código)]]="","",VLOOKUP(Salidas[[#This Row],[Artículo (código)]],Existencias!A:F,7,FALSE))</f>
        <v>#REF!</v>
      </c>
    </row>
    <row r="304" spans="1:8" x14ac:dyDescent="0.3">
      <c r="A304" s="12"/>
      <c r="B304" s="13">
        <v>46069</v>
      </c>
      <c r="C304" s="17">
        <v>1</v>
      </c>
      <c r="D304" s="12" t="s">
        <v>692</v>
      </c>
      <c r="E304" s="29" t="s">
        <v>1246</v>
      </c>
      <c r="F304" s="49" t="str">
        <f>IF(Salidas[[#This Row],[Artículo (código)]]="","",VLOOKUP(Salidas[[#This Row],[Artículo (código)]],Existencias!A:D,4,FALSE))</f>
        <v>Semola 200 gr</v>
      </c>
      <c r="G304" s="12">
        <v>3</v>
      </c>
      <c r="H304" s="12" t="e">
        <f>IF(Salidas[[#This Row],[Artículo (código)]]="","",VLOOKUP(Salidas[[#This Row],[Artículo (código)]],Existencias!A:F,7,FALSE))</f>
        <v>#REF!</v>
      </c>
    </row>
    <row r="305" spans="1:8" x14ac:dyDescent="0.3">
      <c r="A305" s="12"/>
      <c r="B305" s="13">
        <v>46069</v>
      </c>
      <c r="C305" s="17">
        <v>1</v>
      </c>
      <c r="D305" s="12" t="s">
        <v>692</v>
      </c>
      <c r="E305" s="29" t="s">
        <v>788</v>
      </c>
      <c r="F305" s="49" t="str">
        <f>IF(Salidas[[#This Row],[Artículo (código)]]="","",VLOOKUP(Salidas[[#This Row],[Artículo (código)]],Existencias!A:D,4,FALSE))</f>
        <v>Avena  1 kl</v>
      </c>
      <c r="G305" s="12">
        <v>4</v>
      </c>
      <c r="H305" s="12" t="e">
        <f>IF(Salidas[[#This Row],[Artículo (código)]]="","",VLOOKUP(Salidas[[#This Row],[Artículo (código)]],Existencias!A:F,7,FALSE))</f>
        <v>#REF!</v>
      </c>
    </row>
    <row r="306" spans="1:8" x14ac:dyDescent="0.3">
      <c r="A306" s="12"/>
      <c r="B306" s="13">
        <v>46069</v>
      </c>
      <c r="C306" s="17">
        <v>1</v>
      </c>
      <c r="D306" s="12" t="s">
        <v>692</v>
      </c>
      <c r="E306" s="29" t="s">
        <v>773</v>
      </c>
      <c r="F306" s="49" t="str">
        <f>IF(Salidas[[#This Row],[Artículo (código)]]="","",VLOOKUP(Salidas[[#This Row],[Artículo (código)]],Existencias!A:D,4,FALSE))</f>
        <v>Panceta con hueso</v>
      </c>
      <c r="G306" s="12">
        <v>2</v>
      </c>
      <c r="H306" s="12" t="e">
        <f>IF(Salidas[[#This Row],[Artículo (código)]]="","",VLOOKUP(Salidas[[#This Row],[Artículo (código)]],Existencias!A:F,7,FALSE))</f>
        <v>#REF!</v>
      </c>
    </row>
    <row r="307" spans="1:8" x14ac:dyDescent="0.3">
      <c r="A307" s="12"/>
      <c r="B307" s="13">
        <v>46069</v>
      </c>
      <c r="C307" s="17">
        <v>1</v>
      </c>
      <c r="D307" s="12" t="s">
        <v>692</v>
      </c>
      <c r="E307" s="29" t="s">
        <v>723</v>
      </c>
      <c r="F307" s="49" t="str">
        <f>IF(Salidas[[#This Row],[Artículo (código)]]="","",VLOOKUP(Salidas[[#This Row],[Artículo (código)]],Existencias!A:D,4,FALSE))</f>
        <v>Pollo fresco entero</v>
      </c>
      <c r="G307" s="12">
        <v>3</v>
      </c>
      <c r="H307" s="12" t="e">
        <f>IF(Salidas[[#This Row],[Artículo (código)]]="","",VLOOKUP(Salidas[[#This Row],[Artículo (código)]],Existencias!A:F,7,FALSE))</f>
        <v>#REF!</v>
      </c>
    </row>
    <row r="308" spans="1:8" x14ac:dyDescent="0.3">
      <c r="A308" s="12"/>
      <c r="B308" s="13">
        <v>46069</v>
      </c>
      <c r="C308" s="17">
        <v>1</v>
      </c>
      <c r="D308" s="12" t="s">
        <v>692</v>
      </c>
      <c r="E308" s="29" t="s">
        <v>949</v>
      </c>
      <c r="F308" s="49" t="str">
        <f>IF(Salidas[[#This Row],[Artículo (código)]]="","",VLOOKUP(Salidas[[#This Row],[Artículo (código)]],Existencias!A:D,4,FALSE))</f>
        <v>GELATINA 160 gr</v>
      </c>
      <c r="G308" s="12">
        <v>3</v>
      </c>
      <c r="H308" s="12" t="e">
        <f>IF(Salidas[[#This Row],[Artículo (código)]]="","",VLOOKUP(Salidas[[#This Row],[Artículo (código)]],Existencias!A:F,7,FALSE))</f>
        <v>#REF!</v>
      </c>
    </row>
    <row r="309" spans="1:8" x14ac:dyDescent="0.3">
      <c r="A309" s="12"/>
      <c r="B309" s="13">
        <v>46069</v>
      </c>
      <c r="C309" s="17">
        <v>1</v>
      </c>
      <c r="D309" s="12" t="s">
        <v>692</v>
      </c>
      <c r="E309" s="29" t="s">
        <v>755</v>
      </c>
      <c r="F309" s="49" t="str">
        <f>IF(Salidas[[#This Row],[Artículo (código)]]="","",VLOOKUP(Salidas[[#This Row],[Artículo (código)]],Existencias!A:D,4,FALSE))</f>
        <v>Azucar rubia 5 kg</v>
      </c>
      <c r="G309" s="12">
        <v>1</v>
      </c>
      <c r="H309" s="12" t="e">
        <f>IF(Salidas[[#This Row],[Artículo (código)]]="","",VLOOKUP(Salidas[[#This Row],[Artículo (código)]],Existencias!A:F,7,FALSE))</f>
        <v>#REF!</v>
      </c>
    </row>
    <row r="310" spans="1:8" x14ac:dyDescent="0.3">
      <c r="A310" s="12"/>
      <c r="B310" s="13">
        <v>46070</v>
      </c>
      <c r="C310" s="17">
        <v>1</v>
      </c>
      <c r="D310" s="12" t="s">
        <v>692</v>
      </c>
      <c r="E310" s="29" t="s">
        <v>788</v>
      </c>
      <c r="F310" s="49" t="str">
        <f>IF(Salidas[[#This Row],[Artículo (código)]]="","",VLOOKUP(Salidas[[#This Row],[Artículo (código)]],Existencias!A:D,4,FALSE))</f>
        <v>Avena  1 kl</v>
      </c>
      <c r="G310" s="12">
        <v>1</v>
      </c>
      <c r="H310" s="12" t="e">
        <f>IF(Salidas[[#This Row],[Artículo (código)]]="","",VLOOKUP(Salidas[[#This Row],[Artículo (código)]],Existencias!A:F,7,FALSE))</f>
        <v>#REF!</v>
      </c>
    </row>
    <row r="311" spans="1:8" x14ac:dyDescent="0.3">
      <c r="A311" s="12"/>
      <c r="B311" s="13">
        <v>46070</v>
      </c>
      <c r="C311" s="17">
        <v>1</v>
      </c>
      <c r="D311" s="12" t="s">
        <v>692</v>
      </c>
      <c r="E311" s="29" t="s">
        <v>800</v>
      </c>
      <c r="F311" s="49" t="str">
        <f>IF(Salidas[[#This Row],[Artículo (código)]]="","",VLOOKUP(Salidas[[#This Row],[Artículo (código)]],Existencias!A:D,4,FALSE))</f>
        <v xml:space="preserve">Arroz 5 kg </v>
      </c>
      <c r="G311" s="12">
        <v>3</v>
      </c>
      <c r="H311" s="12" t="e">
        <f>IF(Salidas[[#This Row],[Artículo (código)]]="","",VLOOKUP(Salidas[[#This Row],[Artículo (código)]],Existencias!A:F,7,FALSE))</f>
        <v>#REF!</v>
      </c>
    </row>
    <row r="312" spans="1:8" x14ac:dyDescent="0.3">
      <c r="A312" s="12"/>
      <c r="B312" s="13">
        <v>46070</v>
      </c>
      <c r="C312" s="17">
        <v>1</v>
      </c>
      <c r="D312" s="12" t="s">
        <v>692</v>
      </c>
      <c r="E312" s="29" t="s">
        <v>723</v>
      </c>
      <c r="F312" s="49" t="str">
        <f>IF(Salidas[[#This Row],[Artículo (código)]]="","",VLOOKUP(Salidas[[#This Row],[Artículo (código)]],Existencias!A:D,4,FALSE))</f>
        <v>Pollo fresco entero</v>
      </c>
      <c r="G312" s="12">
        <v>4</v>
      </c>
      <c r="H312" s="12" t="e">
        <f>IF(Salidas[[#This Row],[Artículo (código)]]="","",VLOOKUP(Salidas[[#This Row],[Artículo (código)]],Existencias!A:F,7,FALSE))</f>
        <v>#REF!</v>
      </c>
    </row>
    <row r="313" spans="1:8" x14ac:dyDescent="0.3">
      <c r="A313" s="12"/>
      <c r="B313" s="13">
        <v>46070</v>
      </c>
      <c r="C313" s="17">
        <v>1</v>
      </c>
      <c r="D313" s="12" t="s">
        <v>692</v>
      </c>
      <c r="E313" s="29" t="s">
        <v>694</v>
      </c>
      <c r="F313" s="49" t="str">
        <f>IF(Salidas[[#This Row],[Artículo (código)]]="","",VLOOKUP(Salidas[[#This Row],[Artículo (código)]],Existencias!A:D,4,FALSE))</f>
        <v>Aceite Vegetal 900 ml</v>
      </c>
      <c r="G313" s="12">
        <v>1</v>
      </c>
      <c r="H313" s="12" t="e">
        <f>IF(Salidas[[#This Row],[Artículo (código)]]="","",VLOOKUP(Salidas[[#This Row],[Artículo (código)]],Existencias!A:F,7,FALSE))</f>
        <v>#REF!</v>
      </c>
    </row>
    <row r="314" spans="1:8" x14ac:dyDescent="0.3">
      <c r="A314" s="12"/>
      <c r="B314" s="13">
        <v>46070</v>
      </c>
      <c r="C314" s="17">
        <v>1</v>
      </c>
      <c r="D314" s="12" t="s">
        <v>692</v>
      </c>
      <c r="E314" s="29" t="s">
        <v>1208</v>
      </c>
      <c r="F314" s="49" t="str">
        <f>IF(Salidas[[#This Row],[Artículo (código)]]="","",VLOOKUP(Salidas[[#This Row],[Artículo (código)]],Existencias!A:D,4,FALSE))</f>
        <v>Moron 1 kl</v>
      </c>
      <c r="G314" s="12">
        <v>0.75</v>
      </c>
      <c r="H314" s="12" t="e">
        <f>IF(Salidas[[#This Row],[Artículo (código)]]="","",VLOOKUP(Salidas[[#This Row],[Artículo (código)]],Existencias!A:F,7,FALSE))</f>
        <v>#REF!</v>
      </c>
    </row>
    <row r="315" spans="1:8" x14ac:dyDescent="0.3">
      <c r="A315" s="12"/>
      <c r="B315" s="13">
        <v>46071</v>
      </c>
      <c r="C315" s="17">
        <v>1</v>
      </c>
      <c r="D315" s="12" t="s">
        <v>692</v>
      </c>
      <c r="E315" s="29" t="s">
        <v>788</v>
      </c>
      <c r="F315" s="49" t="str">
        <f>IF(Salidas[[#This Row],[Artículo (código)]]="","",VLOOKUP(Salidas[[#This Row],[Artículo (código)]],Existencias!A:D,4,FALSE))</f>
        <v>Avena  1 kl</v>
      </c>
      <c r="G315" s="12">
        <v>6</v>
      </c>
      <c r="H315" s="12" t="e">
        <f>IF(Salidas[[#This Row],[Artículo (código)]]="","",VLOOKUP(Salidas[[#This Row],[Artículo (código)]],Existencias!A:F,7,FALSE))</f>
        <v>#REF!</v>
      </c>
    </row>
    <row r="316" spans="1:8" x14ac:dyDescent="0.3">
      <c r="A316" s="12"/>
      <c r="B316" s="13">
        <v>46071</v>
      </c>
      <c r="C316" s="17">
        <v>1</v>
      </c>
      <c r="D316" s="12" t="s">
        <v>692</v>
      </c>
      <c r="E316" s="29" t="s">
        <v>800</v>
      </c>
      <c r="F316" s="49" t="str">
        <f>IF(Salidas[[#This Row],[Artículo (código)]]="","",VLOOKUP(Salidas[[#This Row],[Artículo (código)]],Existencias!A:D,4,FALSE))</f>
        <v xml:space="preserve">Arroz 5 kg </v>
      </c>
      <c r="G316" s="12">
        <v>1</v>
      </c>
      <c r="H316" s="12" t="e">
        <f>IF(Salidas[[#This Row],[Artículo (código)]]="","",VLOOKUP(Salidas[[#This Row],[Artículo (código)]],Existencias!A:F,7,FALSE))</f>
        <v>#REF!</v>
      </c>
    </row>
    <row r="317" spans="1:8" x14ac:dyDescent="0.3">
      <c r="A317" s="12"/>
      <c r="B317" s="13">
        <v>46071</v>
      </c>
      <c r="C317" s="17">
        <v>1</v>
      </c>
      <c r="D317" s="12" t="s">
        <v>692</v>
      </c>
      <c r="E317" s="29" t="s">
        <v>723</v>
      </c>
      <c r="F317" s="49" t="str">
        <f>IF(Salidas[[#This Row],[Artículo (código)]]="","",VLOOKUP(Salidas[[#This Row],[Artículo (código)]],Existencias!A:D,4,FALSE))</f>
        <v>Pollo fresco entero</v>
      </c>
      <c r="G317" s="12">
        <v>5</v>
      </c>
      <c r="H317" s="12" t="e">
        <f>IF(Salidas[[#This Row],[Artículo (código)]]="","",VLOOKUP(Salidas[[#This Row],[Artículo (código)]],Existencias!A:F,7,FALSE))</f>
        <v>#REF!</v>
      </c>
    </row>
    <row r="318" spans="1:8" x14ac:dyDescent="0.3">
      <c r="A318" s="12"/>
      <c r="B318" s="13">
        <v>46071</v>
      </c>
      <c r="C318" s="17">
        <v>1</v>
      </c>
      <c r="D318" s="12" t="s">
        <v>692</v>
      </c>
      <c r="E318" s="29" t="s">
        <v>1308</v>
      </c>
      <c r="F318" s="49" t="str">
        <f>IF(Salidas[[#This Row],[Artículo (código)]]="","",VLOOKUP(Salidas[[#This Row],[Artículo (código)]],Existencias!A:D,4,FALSE))</f>
        <v>Carne Molida</v>
      </c>
      <c r="G318" s="12">
        <v>5</v>
      </c>
      <c r="H318" s="12" t="e">
        <f>IF(Salidas[[#This Row],[Artículo (código)]]="","",VLOOKUP(Salidas[[#This Row],[Artículo (código)]],Existencias!A:F,7,FALSE))</f>
        <v>#REF!</v>
      </c>
    </row>
    <row r="319" spans="1:8" x14ac:dyDescent="0.3">
      <c r="A319" s="12"/>
      <c r="B319" s="13">
        <v>46071</v>
      </c>
      <c r="C319" s="17">
        <v>1</v>
      </c>
      <c r="D319" s="12" t="s">
        <v>692</v>
      </c>
      <c r="E319" s="29" t="s">
        <v>703</v>
      </c>
      <c r="F319" s="49" t="str">
        <f>IF(Salidas[[#This Row],[Artículo (código)]]="","",VLOOKUP(Salidas[[#This Row],[Artículo (código)]],Existencias!A:D,4,FALSE))</f>
        <v>Leche Evaporada  390 gr lata</v>
      </c>
      <c r="G319" s="12">
        <v>6</v>
      </c>
      <c r="H319" s="12" t="e">
        <f>IF(Salidas[[#This Row],[Artículo (código)]]="","",VLOOKUP(Salidas[[#This Row],[Artículo (código)]],Existencias!A:F,7,FALSE))</f>
        <v>#REF!</v>
      </c>
    </row>
    <row r="320" spans="1:8" x14ac:dyDescent="0.3">
      <c r="A320" s="12"/>
      <c r="B320" s="13">
        <v>46071</v>
      </c>
      <c r="C320" s="17">
        <v>1</v>
      </c>
      <c r="D320" s="12" t="s">
        <v>692</v>
      </c>
      <c r="E320" s="29" t="s">
        <v>923</v>
      </c>
      <c r="F320" s="49" t="e">
        <f>IF(Salidas[[#This Row],[Artículo (código)]]="","",VLOOKUP(Salidas[[#This Row],[Artículo (código)]],Existencias!A:D,4,FALSE))</f>
        <v>#N/A</v>
      </c>
      <c r="G320" s="12">
        <v>3</v>
      </c>
      <c r="H320" s="12" t="e">
        <f>IF(Salidas[[#This Row],[Artículo (código)]]="","",VLOOKUP(Salidas[[#This Row],[Artículo (código)]],Existencias!A:F,7,FALSE))</f>
        <v>#N/A</v>
      </c>
    </row>
    <row r="321" spans="1:8" x14ac:dyDescent="0.3">
      <c r="A321" s="12"/>
      <c r="B321" s="13">
        <v>46071</v>
      </c>
      <c r="C321" s="17">
        <v>1</v>
      </c>
      <c r="D321" s="12" t="s">
        <v>692</v>
      </c>
      <c r="E321" s="29" t="s">
        <v>989</v>
      </c>
      <c r="F321" s="49" t="str">
        <f>IF(Salidas[[#This Row],[Artículo (código)]]="","",VLOOKUP(Salidas[[#This Row],[Artículo (código)]],Existencias!A:D,4,FALSE))</f>
        <v>Huevo pardo</v>
      </c>
      <c r="G321" s="12">
        <v>35</v>
      </c>
      <c r="H321" s="12" t="e">
        <f>IF(Salidas[[#This Row],[Artículo (código)]]="","",VLOOKUP(Salidas[[#This Row],[Artículo (código)]],Existencias!A:F,7,FALSE))</f>
        <v>#REF!</v>
      </c>
    </row>
    <row r="322" spans="1:8" x14ac:dyDescent="0.3">
      <c r="A322" s="12"/>
      <c r="B322" s="13">
        <v>46072</v>
      </c>
      <c r="C322" s="17">
        <v>1</v>
      </c>
      <c r="D322" s="12" t="s">
        <v>692</v>
      </c>
      <c r="E322" s="29" t="s">
        <v>788</v>
      </c>
      <c r="F322" s="49" t="str">
        <f>IF(Salidas[[#This Row],[Artículo (código)]]="","",VLOOKUP(Salidas[[#This Row],[Artículo (código)]],Existencias!A:D,4,FALSE))</f>
        <v>Avena  1 kl</v>
      </c>
      <c r="G322" s="12">
        <v>1</v>
      </c>
      <c r="H322" s="12" t="e">
        <f>IF(Salidas[[#This Row],[Artículo (código)]]="","",VLOOKUP(Salidas[[#This Row],[Artículo (código)]],Existencias!A:F,7,FALSE))</f>
        <v>#REF!</v>
      </c>
    </row>
    <row r="323" spans="1:8" x14ac:dyDescent="0.3">
      <c r="A323" s="12"/>
      <c r="B323" s="13">
        <v>46072</v>
      </c>
      <c r="C323" s="17">
        <v>1</v>
      </c>
      <c r="D323" s="12" t="s">
        <v>692</v>
      </c>
      <c r="E323" s="29" t="s">
        <v>800</v>
      </c>
      <c r="F323" s="49" t="str">
        <f>IF(Salidas[[#This Row],[Artículo (código)]]="","",VLOOKUP(Salidas[[#This Row],[Artículo (código)]],Existencias!A:D,4,FALSE))</f>
        <v xml:space="preserve">Arroz 5 kg </v>
      </c>
      <c r="G323" s="12">
        <v>1</v>
      </c>
      <c r="H323" s="12" t="e">
        <f>IF(Salidas[[#This Row],[Artículo (código)]]="","",VLOOKUP(Salidas[[#This Row],[Artículo (código)]],Existencias!A:F,7,FALSE))</f>
        <v>#REF!</v>
      </c>
    </row>
    <row r="324" spans="1:8" x14ac:dyDescent="0.3">
      <c r="A324" s="12"/>
      <c r="B324" s="13">
        <v>46072</v>
      </c>
      <c r="C324" s="17">
        <v>1</v>
      </c>
      <c r="D324" s="12" t="s">
        <v>692</v>
      </c>
      <c r="E324" s="29" t="s">
        <v>694</v>
      </c>
      <c r="F324" s="49" t="str">
        <f>IF(Salidas[[#This Row],[Artículo (código)]]="","",VLOOKUP(Salidas[[#This Row],[Artículo (código)]],Existencias!A:D,4,FALSE))</f>
        <v>Aceite Vegetal 900 ml</v>
      </c>
      <c r="G324" s="12">
        <v>1</v>
      </c>
      <c r="H324" s="12" t="e">
        <f>IF(Salidas[[#This Row],[Artículo (código)]]="","",VLOOKUP(Salidas[[#This Row],[Artículo (código)]],Existencias!A:F,7,FALSE))</f>
        <v>#REF!</v>
      </c>
    </row>
    <row r="325" spans="1:8" x14ac:dyDescent="0.3">
      <c r="A325" s="12"/>
      <c r="B325" s="13">
        <v>46072</v>
      </c>
      <c r="C325" s="17">
        <v>1</v>
      </c>
      <c r="D325" s="12" t="s">
        <v>692</v>
      </c>
      <c r="E325" s="29" t="s">
        <v>949</v>
      </c>
      <c r="F325" s="49" t="str">
        <f>IF(Salidas[[#This Row],[Artículo (código)]]="","",VLOOKUP(Salidas[[#This Row],[Artículo (código)]],Existencias!A:D,4,FALSE))</f>
        <v>GELATINA 160 gr</v>
      </c>
      <c r="G325" s="12">
        <v>5</v>
      </c>
      <c r="H325" s="12" t="e">
        <f>IF(Salidas[[#This Row],[Artículo (código)]]="","",VLOOKUP(Salidas[[#This Row],[Artículo (código)]],Existencias!A:F,7,FALSE))</f>
        <v>#REF!</v>
      </c>
    </row>
    <row r="326" spans="1:8" x14ac:dyDescent="0.3">
      <c r="A326" s="12"/>
      <c r="B326" s="13">
        <v>46072</v>
      </c>
      <c r="C326" s="17">
        <v>1</v>
      </c>
      <c r="D326" s="12" t="s">
        <v>692</v>
      </c>
      <c r="E326" s="29" t="s">
        <v>919</v>
      </c>
      <c r="F326" s="49" t="str">
        <f>IF(Salidas[[#This Row],[Artículo (código)]]="","",VLOOKUP(Salidas[[#This Row],[Artículo (código)]],Existencias!A:D,4,FALSE))</f>
        <v>Fideos cortos 250 gr</v>
      </c>
      <c r="G326" s="12">
        <v>3</v>
      </c>
      <c r="H326" s="12" t="e">
        <f>IF(Salidas[[#This Row],[Artículo (código)]]="","",VLOOKUP(Salidas[[#This Row],[Artículo (código)]],Existencias!A:F,7,FALSE))</f>
        <v>#REF!</v>
      </c>
    </row>
    <row r="327" spans="1:8" x14ac:dyDescent="0.3">
      <c r="A327" s="12"/>
      <c r="B327" s="13">
        <v>46072</v>
      </c>
      <c r="C327" s="17">
        <v>1</v>
      </c>
      <c r="D327" s="12" t="s">
        <v>692</v>
      </c>
      <c r="E327" s="29" t="s">
        <v>781</v>
      </c>
      <c r="F327" s="49" t="str">
        <f>IF(Salidas[[#This Row],[Artículo (código)]]="","",VLOOKUP(Salidas[[#This Row],[Artículo (código)]],Existencias!A:D,4,FALSE))</f>
        <v>Guiso de cerdo</v>
      </c>
      <c r="G327" s="12">
        <v>4</v>
      </c>
      <c r="H327" s="12" t="e">
        <f>IF(Salidas[[#This Row],[Artículo (código)]]="","",VLOOKUP(Salidas[[#This Row],[Artículo (código)]],Existencias!A:F,7,FALSE))</f>
        <v>#REF!</v>
      </c>
    </row>
    <row r="328" spans="1:8" x14ac:dyDescent="0.3">
      <c r="A328" s="12"/>
      <c r="B328" s="13">
        <v>46072</v>
      </c>
      <c r="C328" s="17">
        <v>1</v>
      </c>
      <c r="D328" s="12" t="s">
        <v>692</v>
      </c>
      <c r="E328" s="29" t="s">
        <v>723</v>
      </c>
      <c r="F328" s="49" t="str">
        <f>IF(Salidas[[#This Row],[Artículo (código)]]="","",VLOOKUP(Salidas[[#This Row],[Artículo (código)]],Existencias!A:D,4,FALSE))</f>
        <v>Pollo fresco entero</v>
      </c>
      <c r="G328" s="12">
        <v>3</v>
      </c>
      <c r="H328" s="12" t="e">
        <f>IF(Salidas[[#This Row],[Artículo (código)]]="","",VLOOKUP(Salidas[[#This Row],[Artículo (código)]],Existencias!A:F,7,FALSE))</f>
        <v>#REF!</v>
      </c>
    </row>
    <row r="329" spans="1:8" x14ac:dyDescent="0.3">
      <c r="A329" s="12"/>
      <c r="B329" s="13">
        <v>46072</v>
      </c>
      <c r="C329" s="17">
        <v>1</v>
      </c>
      <c r="D329" s="12" t="s">
        <v>692</v>
      </c>
      <c r="E329" s="29" t="s">
        <v>989</v>
      </c>
      <c r="F329" s="49" t="str">
        <f>IF(Salidas[[#This Row],[Artículo (código)]]="","",VLOOKUP(Salidas[[#This Row],[Artículo (código)]],Existencias!A:D,4,FALSE))</f>
        <v>Huevo pardo</v>
      </c>
      <c r="G329" s="12">
        <v>20</v>
      </c>
      <c r="H329" s="12" t="e">
        <f>IF(Salidas[[#This Row],[Artículo (código)]]="","",VLOOKUP(Salidas[[#This Row],[Artículo (código)]],Existencias!A:F,7,FALSE))</f>
        <v>#REF!</v>
      </c>
    </row>
    <row r="330" spans="1:8" x14ac:dyDescent="0.3">
      <c r="A330" s="12"/>
      <c r="B330" s="13">
        <v>46073</v>
      </c>
      <c r="C330" s="17">
        <v>1</v>
      </c>
      <c r="D330" s="12" t="s">
        <v>692</v>
      </c>
      <c r="E330" s="29" t="s">
        <v>788</v>
      </c>
      <c r="F330" s="49" t="str">
        <f>IF(Salidas[[#This Row],[Artículo (código)]]="","",VLOOKUP(Salidas[[#This Row],[Artículo (código)]],Existencias!A:D,4,FALSE))</f>
        <v>Avena  1 kl</v>
      </c>
      <c r="G330" s="12">
        <v>1</v>
      </c>
      <c r="H330" s="12" t="e">
        <f>IF(Salidas[[#This Row],[Artículo (código)]]="","",VLOOKUP(Salidas[[#This Row],[Artículo (código)]],Existencias!A:F,7,FALSE))</f>
        <v>#REF!</v>
      </c>
    </row>
    <row r="331" spans="1:8" x14ac:dyDescent="0.3">
      <c r="A331" s="12"/>
      <c r="B331" s="13">
        <v>46073</v>
      </c>
      <c r="C331" s="17">
        <v>1</v>
      </c>
      <c r="D331" s="12" t="s">
        <v>692</v>
      </c>
      <c r="E331" s="29" t="s">
        <v>989</v>
      </c>
      <c r="F331" s="49" t="str">
        <f>IF(Salidas[[#This Row],[Artículo (código)]]="","",VLOOKUP(Salidas[[#This Row],[Artículo (código)]],Existencias!A:D,4,FALSE))</f>
        <v>Huevo pardo</v>
      </c>
      <c r="G331" s="12">
        <v>28</v>
      </c>
      <c r="H331" s="12" t="e">
        <f>IF(Salidas[[#This Row],[Artículo (código)]]="","",VLOOKUP(Salidas[[#This Row],[Artículo (código)]],Existencias!A:F,7,FALSE))</f>
        <v>#REF!</v>
      </c>
    </row>
    <row r="332" spans="1:8" x14ac:dyDescent="0.3">
      <c r="A332" s="12"/>
      <c r="B332" s="13">
        <v>46073</v>
      </c>
      <c r="C332" s="17">
        <v>1</v>
      </c>
      <c r="D332" s="12" t="s">
        <v>692</v>
      </c>
      <c r="E332" s="29" t="s">
        <v>916</v>
      </c>
      <c r="F332" s="49" t="str">
        <f>IF(Salidas[[#This Row],[Artículo (código)]]="","",VLOOKUP(Salidas[[#This Row],[Artículo (código)]],Existencias!A:D,4,FALSE))</f>
        <v>Fideos largos 500 gr</v>
      </c>
      <c r="G332" s="12">
        <v>6</v>
      </c>
      <c r="H332" s="12" t="e">
        <f>IF(Salidas[[#This Row],[Artículo (código)]]="","",VLOOKUP(Salidas[[#This Row],[Artículo (código)]],Existencias!A:F,7,FALSE))</f>
        <v>#REF!</v>
      </c>
    </row>
    <row r="333" spans="1:8" x14ac:dyDescent="0.3">
      <c r="A333" s="12"/>
      <c r="B333" s="13">
        <v>46073</v>
      </c>
      <c r="C333" s="17">
        <v>1</v>
      </c>
      <c r="D333" s="12" t="s">
        <v>692</v>
      </c>
      <c r="E333" s="29" t="s">
        <v>847</v>
      </c>
      <c r="F333" s="49" t="str">
        <f>IF(Salidas[[#This Row],[Artículo (código)]]="","",VLOOKUP(Salidas[[#This Row],[Artículo (código)]],Existencias!A:D,4,FALSE))</f>
        <v>Salsa de tomate 290 gr</v>
      </c>
      <c r="G333" s="12">
        <v>2</v>
      </c>
      <c r="H333" s="12" t="e">
        <f>IF(Salidas[[#This Row],[Artículo (código)]]="","",VLOOKUP(Salidas[[#This Row],[Artículo (código)]],Existencias!A:F,7,FALSE))</f>
        <v>#REF!</v>
      </c>
    </row>
    <row r="334" spans="1:8" x14ac:dyDescent="0.3">
      <c r="A334" s="12"/>
      <c r="B334" s="13">
        <v>46073</v>
      </c>
      <c r="C334" s="17">
        <v>1</v>
      </c>
      <c r="D334" s="12" t="s">
        <v>692</v>
      </c>
      <c r="E334" s="29" t="s">
        <v>755</v>
      </c>
      <c r="F334" s="49" t="str">
        <f>IF(Salidas[[#This Row],[Artículo (código)]]="","",VLOOKUP(Salidas[[#This Row],[Artículo (código)]],Existencias!A:D,4,FALSE))</f>
        <v>Azucar rubia 5 kg</v>
      </c>
      <c r="G334" s="12">
        <v>1</v>
      </c>
      <c r="H334" s="12" t="e">
        <f>IF(Salidas[[#This Row],[Artículo (código)]]="","",VLOOKUP(Salidas[[#This Row],[Artículo (código)]],Existencias!A:F,7,FALSE))</f>
        <v>#REF!</v>
      </c>
    </row>
    <row r="335" spans="1:8" x14ac:dyDescent="0.3">
      <c r="A335" s="12"/>
      <c r="B335" s="13">
        <v>46074</v>
      </c>
      <c r="C335" s="17">
        <v>1</v>
      </c>
      <c r="D335" s="12" t="s">
        <v>692</v>
      </c>
      <c r="E335" s="29" t="s">
        <v>788</v>
      </c>
      <c r="F335" s="49" t="str">
        <f>IF(Salidas[[#This Row],[Artículo (código)]]="","",VLOOKUP(Salidas[[#This Row],[Artículo (código)]],Existencias!A:D,4,FALSE))</f>
        <v>Avena  1 kl</v>
      </c>
      <c r="G335" s="12">
        <v>1</v>
      </c>
      <c r="H335" s="12" t="e">
        <f>IF(Salidas[[#This Row],[Artículo (código)]]="","",VLOOKUP(Salidas[[#This Row],[Artículo (código)]],Existencias!A:F,7,FALSE))</f>
        <v>#REF!</v>
      </c>
    </row>
    <row r="336" spans="1:8" x14ac:dyDescent="0.3">
      <c r="A336" s="12"/>
      <c r="B336" s="13">
        <v>46074</v>
      </c>
      <c r="C336" s="17">
        <v>1</v>
      </c>
      <c r="D336" s="12" t="s">
        <v>692</v>
      </c>
      <c r="E336" s="29" t="s">
        <v>989</v>
      </c>
      <c r="F336" s="49" t="str">
        <f>IF(Salidas[[#This Row],[Artículo (código)]]="","",VLOOKUP(Salidas[[#This Row],[Artículo (código)]],Existencias!A:D,4,FALSE))</f>
        <v>Huevo pardo</v>
      </c>
      <c r="G336" s="12">
        <v>50</v>
      </c>
      <c r="H336" s="12" t="e">
        <f>IF(Salidas[[#This Row],[Artículo (código)]]="","",VLOOKUP(Salidas[[#This Row],[Artículo (código)]],Existencias!A:F,7,FALSE))</f>
        <v>#REF!</v>
      </c>
    </row>
    <row r="337" spans="1:8" x14ac:dyDescent="0.3">
      <c r="A337" s="12"/>
      <c r="B337" s="13">
        <v>46074</v>
      </c>
      <c r="C337" s="17">
        <v>1</v>
      </c>
      <c r="D337" s="12" t="s">
        <v>692</v>
      </c>
      <c r="E337" s="29" t="s">
        <v>800</v>
      </c>
      <c r="F337" s="49" t="str">
        <f>IF(Salidas[[#This Row],[Artículo (código)]]="","",VLOOKUP(Salidas[[#This Row],[Artículo (código)]],Existencias!A:D,4,FALSE))</f>
        <v xml:space="preserve">Arroz 5 kg </v>
      </c>
      <c r="G337" s="12">
        <v>1</v>
      </c>
      <c r="H337" s="12" t="e">
        <f>IF(Salidas[[#This Row],[Artículo (código)]]="","",VLOOKUP(Salidas[[#This Row],[Artículo (código)]],Existencias!A:F,7,FALSE))</f>
        <v>#REF!</v>
      </c>
    </row>
    <row r="338" spans="1:8" x14ac:dyDescent="0.3">
      <c r="A338" s="12"/>
      <c r="B338" s="13">
        <v>46074</v>
      </c>
      <c r="C338" s="17">
        <v>1</v>
      </c>
      <c r="D338" s="12" t="s">
        <v>692</v>
      </c>
      <c r="E338" s="29" t="s">
        <v>1213</v>
      </c>
      <c r="F338" s="49" t="str">
        <f>IF(Salidas[[#This Row],[Artículo (código)]]="","",VLOOKUP(Salidas[[#This Row],[Artículo (código)]],Existencias!A:D,4,FALSE))</f>
        <v>Pallar 1 kl</v>
      </c>
      <c r="G338" s="12">
        <v>3</v>
      </c>
      <c r="H338" s="12" t="e">
        <f>IF(Salidas[[#This Row],[Artículo (código)]]="","",VLOOKUP(Salidas[[#This Row],[Artículo (código)]],Existencias!A:F,7,FALSE))</f>
        <v>#REF!</v>
      </c>
    </row>
    <row r="339" spans="1:8" x14ac:dyDescent="0.3">
      <c r="A339" s="12"/>
      <c r="B339" s="13">
        <v>46074</v>
      </c>
      <c r="C339" s="17">
        <v>1</v>
      </c>
      <c r="D339" s="12" t="s">
        <v>692</v>
      </c>
      <c r="E339" s="29" t="s">
        <v>709</v>
      </c>
      <c r="F339" s="49" t="str">
        <f>IF(Salidas[[#This Row],[Artículo (código)]]="","",VLOOKUP(Salidas[[#This Row],[Artículo (código)]],Existencias!A:D,4,FALSE))</f>
        <v>Sal Mesa 1kg</v>
      </c>
      <c r="G339" s="12">
        <v>2</v>
      </c>
      <c r="H339" s="12" t="e">
        <f>IF(Salidas[[#This Row],[Artículo (código)]]="","",VLOOKUP(Salidas[[#This Row],[Artículo (código)]],Existencias!A:F,7,FALSE))</f>
        <v>#REF!</v>
      </c>
    </row>
    <row r="340" spans="1:8" x14ac:dyDescent="0.3">
      <c r="A340" s="12"/>
      <c r="B340" s="13">
        <v>46074</v>
      </c>
      <c r="C340" s="17">
        <v>1</v>
      </c>
      <c r="D340" s="12" t="s">
        <v>692</v>
      </c>
      <c r="E340" s="29" t="s">
        <v>923</v>
      </c>
      <c r="F340" s="49" t="e">
        <f>IF(Salidas[[#This Row],[Artículo (código)]]="","",VLOOKUP(Salidas[[#This Row],[Artículo (código)]],Existencias!A:D,4,FALSE))</f>
        <v>#N/A</v>
      </c>
      <c r="G340" s="12">
        <v>3</v>
      </c>
      <c r="H340" s="12" t="e">
        <f>IF(Salidas[[#This Row],[Artículo (código)]]="","",VLOOKUP(Salidas[[#This Row],[Artículo (código)]],Existencias!A:F,7,FALSE))</f>
        <v>#N/A</v>
      </c>
    </row>
    <row r="341" spans="1:8" x14ac:dyDescent="0.3">
      <c r="A341" s="12"/>
      <c r="B341" s="13">
        <v>46075</v>
      </c>
      <c r="C341" s="17">
        <v>1</v>
      </c>
      <c r="D341" s="12" t="s">
        <v>692</v>
      </c>
      <c r="E341" s="29" t="s">
        <v>788</v>
      </c>
      <c r="F341" s="49" t="str">
        <f>IF(Salidas[[#This Row],[Artículo (código)]]="","",VLOOKUP(Salidas[[#This Row],[Artículo (código)]],Existencias!A:D,4,FALSE))</f>
        <v>Avena  1 kl</v>
      </c>
      <c r="G341" s="12">
        <v>1</v>
      </c>
      <c r="H341" s="12" t="e">
        <f>IF(Salidas[[#This Row],[Artículo (código)]]="","",VLOOKUP(Salidas[[#This Row],[Artículo (código)]],Existencias!A:F,7,FALSE))</f>
        <v>#REF!</v>
      </c>
    </row>
    <row r="342" spans="1:8" x14ac:dyDescent="0.3">
      <c r="A342" s="12"/>
      <c r="B342" s="13">
        <v>46075</v>
      </c>
      <c r="C342" s="17">
        <v>1</v>
      </c>
      <c r="D342" s="12" t="s">
        <v>692</v>
      </c>
      <c r="E342" s="29" t="s">
        <v>917</v>
      </c>
      <c r="F342" s="49" t="str">
        <f>IF(Salidas[[#This Row],[Artículo (código)]]="","",VLOOKUP(Salidas[[#This Row],[Artículo (código)]],Existencias!A:D,4,FALSE))</f>
        <v>Fideos largos 900 gr</v>
      </c>
      <c r="G342" s="12">
        <v>4.5</v>
      </c>
      <c r="H342" s="12" t="e">
        <f>IF(Salidas[[#This Row],[Artículo (código)]]="","",VLOOKUP(Salidas[[#This Row],[Artículo (código)]],Existencias!A:F,7,FALSE))</f>
        <v>#REF!</v>
      </c>
    </row>
    <row r="343" spans="1:8" x14ac:dyDescent="0.3">
      <c r="A343" s="12"/>
      <c r="B343" s="13">
        <v>46075</v>
      </c>
      <c r="C343" s="17">
        <v>1</v>
      </c>
      <c r="D343" s="12" t="s">
        <v>692</v>
      </c>
      <c r="E343" s="29" t="s">
        <v>694</v>
      </c>
      <c r="F343" s="49" t="str">
        <f>IF(Salidas[[#This Row],[Artículo (código)]]="","",VLOOKUP(Salidas[[#This Row],[Artículo (código)]],Existencias!A:D,4,FALSE))</f>
        <v>Aceite Vegetal 900 ml</v>
      </c>
      <c r="G343" s="12">
        <v>1</v>
      </c>
      <c r="H343" s="12" t="e">
        <f>IF(Salidas[[#This Row],[Artículo (código)]]="","",VLOOKUP(Salidas[[#This Row],[Artículo (código)]],Existencias!A:F,7,FALSE))</f>
        <v>#REF!</v>
      </c>
    </row>
    <row r="344" spans="1:8" x14ac:dyDescent="0.3">
      <c r="A344" s="12"/>
      <c r="B344" s="13">
        <v>46075</v>
      </c>
      <c r="C344" s="17">
        <v>1</v>
      </c>
      <c r="D344" s="12" t="str">
        <f>IF(Entradas[[#This Row],[Proveedor (código)]]="","",VLOOKUP(Entradas[[#This Row],[Proveedor (código)]],Proveedores[[#All],[Código]:[Nombre fiscal]],2,FALSE))</f>
        <v>PLAZA VEA B.A</v>
      </c>
      <c r="E344" s="29" t="s">
        <v>885</v>
      </c>
      <c r="F344" s="49" t="str">
        <f>IF(Salidas[[#This Row],[Artículo (código)]]="","",VLOOKUP(Salidas[[#This Row],[Artículo (código)]],Existencias!A:D,4,FALSE))</f>
        <v>Filete de atun aceite lata</v>
      </c>
      <c r="G344" s="12">
        <v>12</v>
      </c>
      <c r="H344" s="12" t="e">
        <f>IF(Salidas[[#This Row],[Artículo (código)]]="","",VLOOKUP(Salidas[[#This Row],[Artículo (código)]],Existencias!A:F,7,FALSE))</f>
        <v>#REF!</v>
      </c>
    </row>
    <row r="345" spans="1:8" x14ac:dyDescent="0.3">
      <c r="A345" s="12"/>
      <c r="B345" s="13">
        <v>46076</v>
      </c>
      <c r="C345" s="17">
        <v>1</v>
      </c>
      <c r="D345" s="12" t="str">
        <f>IF(Entradas[[#This Row],[Proveedor (código)]]="","",VLOOKUP(Entradas[[#This Row],[Proveedor (código)]],Proveedores[[#All],[Código]:[Nombre fiscal]],2,FALSE))</f>
        <v>PLAZA VEA B.A</v>
      </c>
      <c r="E345" s="29" t="s">
        <v>788</v>
      </c>
      <c r="F345" s="49" t="str">
        <f>IF(Salidas[[#This Row],[Artículo (código)]]="","",VLOOKUP(Salidas[[#This Row],[Artículo (código)]],Existencias!A:D,4,FALSE))</f>
        <v>Avena  1 kl</v>
      </c>
      <c r="G345" s="12">
        <v>1</v>
      </c>
      <c r="H345" s="12" t="e">
        <f>IF(Salidas[[#This Row],[Artículo (código)]]="","",VLOOKUP(Salidas[[#This Row],[Artículo (código)]],Existencias!A:F,7,FALSE))</f>
        <v>#REF!</v>
      </c>
    </row>
    <row r="346" spans="1:8" x14ac:dyDescent="0.3">
      <c r="A346" s="12"/>
      <c r="B346" s="13">
        <v>46076</v>
      </c>
      <c r="C346" s="17">
        <v>1</v>
      </c>
      <c r="D346" s="12" t="str">
        <f>IF(Entradas[[#This Row],[Proveedor (código)]]="","",VLOOKUP(Entradas[[#This Row],[Proveedor (código)]],Proveedores[[#All],[Código]:[Nombre fiscal]],2,FALSE))</f>
        <v>PLAZA VEA B.A</v>
      </c>
      <c r="E346" s="29" t="s">
        <v>989</v>
      </c>
      <c r="F346" s="49" t="str">
        <f>IF(Salidas[[#This Row],[Artículo (código)]]="","",VLOOKUP(Salidas[[#This Row],[Artículo (código)]],Existencias!A:D,4,FALSE))</f>
        <v>Huevo pardo</v>
      </c>
      <c r="G346" s="12">
        <v>6</v>
      </c>
      <c r="H346" s="12" t="e">
        <f>IF(Salidas[[#This Row],[Artículo (código)]]="","",VLOOKUP(Salidas[[#This Row],[Artículo (código)]],Existencias!A:F,7,FALSE))</f>
        <v>#REF!</v>
      </c>
    </row>
    <row r="347" spans="1:8" x14ac:dyDescent="0.3">
      <c r="A347" s="12"/>
      <c r="B347" s="13">
        <v>46076</v>
      </c>
      <c r="C347" s="17">
        <v>1</v>
      </c>
      <c r="D347" s="12" t="str">
        <f>IF(Entradas[[#This Row],[Proveedor (código)]]="","",VLOOKUP(Entradas[[#This Row],[Proveedor (código)]],Proveedores[[#All],[Código]:[Nombre fiscal]],2,FALSE))</f>
        <v>PLAZA VEA B.A</v>
      </c>
      <c r="E347" s="29" t="s">
        <v>800</v>
      </c>
      <c r="F347" s="49" t="str">
        <f>IF(Salidas[[#This Row],[Artículo (código)]]="","",VLOOKUP(Salidas[[#This Row],[Artículo (código)]],Existencias!A:D,4,FALSE))</f>
        <v xml:space="preserve">Arroz 5 kg </v>
      </c>
      <c r="G347" s="12">
        <v>1</v>
      </c>
      <c r="H347" s="12" t="e">
        <f>IF(Salidas[[#This Row],[Artículo (código)]]="","",VLOOKUP(Salidas[[#This Row],[Artículo (código)]],Existencias!A:F,7,FALSE))</f>
        <v>#REF!</v>
      </c>
    </row>
    <row r="348" spans="1:8" x14ac:dyDescent="0.3">
      <c r="A348" s="12"/>
      <c r="B348" s="13">
        <v>46076</v>
      </c>
      <c r="C348" s="17">
        <v>1</v>
      </c>
      <c r="D348" s="12" t="str">
        <f>IF(Entradas[[#This Row],[Proveedor (código)]]="","",VLOOKUP(Entradas[[#This Row],[Proveedor (código)]],Proveedores[[#All],[Código]:[Nombre fiscal]],2,FALSE))</f>
        <v>PLAZA VEA B.A</v>
      </c>
      <c r="E348" s="29" t="s">
        <v>1227</v>
      </c>
      <c r="F348" s="49" t="str">
        <f>IF(Salidas[[#This Row],[Artículo (código)]]="","",VLOOKUP(Salidas[[#This Row],[Artículo (código)]],Existencias!A:D,4,FALSE))</f>
        <v>Quinua 1 kg</v>
      </c>
      <c r="G348" s="12">
        <v>3</v>
      </c>
      <c r="H348" s="12" t="e">
        <f>IF(Salidas[[#This Row],[Artículo (código)]]="","",VLOOKUP(Salidas[[#This Row],[Artículo (código)]],Existencias!A:F,7,FALSE))</f>
        <v>#REF!</v>
      </c>
    </row>
    <row r="349" spans="1:8" x14ac:dyDescent="0.3">
      <c r="A349" s="12"/>
      <c r="B349" s="13">
        <v>46076</v>
      </c>
      <c r="C349" s="17">
        <v>1</v>
      </c>
      <c r="D349" s="12" t="str">
        <f>IF(Entradas[[#This Row],[Proveedor (código)]]="","",VLOOKUP(Entradas[[#This Row],[Proveedor (código)]],Proveedores[[#All],[Código]:[Nombre fiscal]],2,FALSE))</f>
        <v>PLAZA VEA B.A</v>
      </c>
      <c r="E349" s="29" t="s">
        <v>847</v>
      </c>
      <c r="F349" s="49" t="str">
        <f>IF(Salidas[[#This Row],[Artículo (código)]]="","",VLOOKUP(Salidas[[#This Row],[Artículo (código)]],Existencias!A:D,4,FALSE))</f>
        <v>Salsa de tomate 290 gr</v>
      </c>
      <c r="G349" s="12">
        <v>1</v>
      </c>
      <c r="H349" s="12" t="e">
        <f>IF(Salidas[[#This Row],[Artículo (código)]]="","",VLOOKUP(Salidas[[#This Row],[Artículo (código)]],Existencias!A:F,7,FALSE))</f>
        <v>#REF!</v>
      </c>
    </row>
    <row r="350" spans="1:8" x14ac:dyDescent="0.3">
      <c r="A350" s="12"/>
      <c r="B350" s="13">
        <v>46076</v>
      </c>
      <c r="C350" s="17">
        <v>1</v>
      </c>
      <c r="D350" s="12" t="str">
        <f>IF(Entradas[[#This Row],[Proveedor (código)]]="","",VLOOKUP(Entradas[[#This Row],[Proveedor (código)]],Proveedores[[#All],[Código]:[Nombre fiscal]],2,FALSE))</f>
        <v>PLAZA VEA B.A</v>
      </c>
      <c r="E350" s="29" t="s">
        <v>723</v>
      </c>
      <c r="F350" s="49" t="str">
        <f>IF(Salidas[[#This Row],[Artículo (código)]]="","",VLOOKUP(Salidas[[#This Row],[Artículo (código)]],Existencias!A:D,4,FALSE))</f>
        <v>Pollo fresco entero</v>
      </c>
      <c r="G350" s="12">
        <v>7</v>
      </c>
      <c r="H350" s="12" t="e">
        <f>IF(Salidas[[#This Row],[Artículo (código)]]="","",VLOOKUP(Salidas[[#This Row],[Artículo (código)]],Existencias!A:F,7,FALSE))</f>
        <v>#REF!</v>
      </c>
    </row>
    <row r="351" spans="1:8" x14ac:dyDescent="0.3">
      <c r="A351" s="12"/>
      <c r="B351" s="13">
        <v>46076</v>
      </c>
      <c r="C351" s="17">
        <v>1</v>
      </c>
      <c r="D351" s="12" t="str">
        <f>IF(Entradas[[#This Row],[Proveedor (código)]]="","",VLOOKUP(Entradas[[#This Row],[Proveedor (código)]],Proveedores[[#All],[Código]:[Nombre fiscal]],2,FALSE))</f>
        <v>PLAZA VEA B.A</v>
      </c>
      <c r="E351" s="29" t="s">
        <v>703</v>
      </c>
      <c r="F351" s="49" t="str">
        <f>IF(Salidas[[#This Row],[Artículo (código)]]="","",VLOOKUP(Salidas[[#This Row],[Artículo (código)]],Existencias!A:D,4,FALSE))</f>
        <v>Leche Evaporada  390 gr lata</v>
      </c>
      <c r="G351" s="12">
        <v>2</v>
      </c>
      <c r="H351" s="12" t="e">
        <f>IF(Salidas[[#This Row],[Artículo (código)]]="","",VLOOKUP(Salidas[[#This Row],[Artículo (código)]],Existencias!A:F,7,FALSE))</f>
        <v>#REF!</v>
      </c>
    </row>
    <row r="352" spans="1:8" x14ac:dyDescent="0.3">
      <c r="A352" s="12"/>
      <c r="B352" s="13">
        <v>46077</v>
      </c>
      <c r="C352" s="17">
        <v>1</v>
      </c>
      <c r="D352" s="12" t="str">
        <f>IF(Entradas[[#This Row],[Proveedor (código)]]="","",VLOOKUP(Entradas[[#This Row],[Proveedor (código)]],Proveedores[[#All],[Código]:[Nombre fiscal]],2,FALSE))</f>
        <v>PLAZA VEA B.A</v>
      </c>
      <c r="E352" s="29" t="s">
        <v>788</v>
      </c>
      <c r="F352" s="49" t="str">
        <f>IF(Salidas[[#This Row],[Artículo (código)]]="","",VLOOKUP(Salidas[[#This Row],[Artículo (código)]],Existencias!A:D,4,FALSE))</f>
        <v>Avena  1 kl</v>
      </c>
      <c r="G352" s="12">
        <v>1</v>
      </c>
      <c r="H352" s="12" t="e">
        <f>IF(Salidas[[#This Row],[Artículo (código)]]="","",VLOOKUP(Salidas[[#This Row],[Artículo (código)]],Existencias!A:F,7,FALSE))</f>
        <v>#REF!</v>
      </c>
    </row>
    <row r="353" spans="1:8" x14ac:dyDescent="0.3">
      <c r="A353" s="12"/>
      <c r="B353" s="13">
        <v>46077</v>
      </c>
      <c r="C353" s="17">
        <v>1</v>
      </c>
      <c r="D353" s="12" t="str">
        <f>IF(Entradas[[#This Row],[Proveedor (código)]]="","",VLOOKUP(Entradas[[#This Row],[Proveedor (código)]],Proveedores[[#All],[Código]:[Nombre fiscal]],2,FALSE))</f>
        <v/>
      </c>
      <c r="E353" s="29" t="s">
        <v>989</v>
      </c>
      <c r="F353" s="49" t="str">
        <f>IF(Salidas[[#This Row],[Artículo (código)]]="","",VLOOKUP(Salidas[[#This Row],[Artículo (código)]],Existencias!A:D,4,FALSE))</f>
        <v>Huevo pardo</v>
      </c>
      <c r="G353" s="12">
        <v>48</v>
      </c>
      <c r="H353" s="12" t="e">
        <f>IF(Salidas[[#This Row],[Artículo (código)]]="","",VLOOKUP(Salidas[[#This Row],[Artículo (código)]],Existencias!A:F,7,FALSE))</f>
        <v>#REF!</v>
      </c>
    </row>
    <row r="354" spans="1:8" x14ac:dyDescent="0.3">
      <c r="A354" s="12"/>
      <c r="B354" s="13">
        <v>46077</v>
      </c>
      <c r="C354" s="17">
        <v>1</v>
      </c>
      <c r="D354" s="12" t="str">
        <f>IF(Entradas[[#This Row],[Proveedor (código)]]="","",VLOOKUP(Entradas[[#This Row],[Proveedor (código)]],Proveedores[[#All],[Código]:[Nombre fiscal]],2,FALSE))</f>
        <v/>
      </c>
      <c r="E354" s="29" t="s">
        <v>799</v>
      </c>
      <c r="F354" s="49" t="str">
        <f>IF(Salidas[[#This Row],[Artículo (código)]]="","",VLOOKUP(Salidas[[#This Row],[Artículo (código)]],Existencias!A:D,4,FALSE))</f>
        <v>Arroz 1 kg</v>
      </c>
      <c r="G354" s="12">
        <v>4</v>
      </c>
      <c r="H354" s="12" t="e">
        <f>IF(Salidas[[#This Row],[Artículo (código)]]="","",VLOOKUP(Salidas[[#This Row],[Artículo (código)]],Existencias!A:F,7,FALSE))</f>
        <v>#REF!</v>
      </c>
    </row>
    <row r="355" spans="1:8" x14ac:dyDescent="0.3">
      <c r="A355" s="12"/>
      <c r="B355" s="13">
        <v>46077</v>
      </c>
      <c r="C355" s="17">
        <v>1</v>
      </c>
      <c r="D355" s="12" t="str">
        <f>IF(Entradas[[#This Row],[Proveedor (código)]]="","",VLOOKUP(Entradas[[#This Row],[Proveedor (código)]],Proveedores[[#All],[Código]:[Nombre fiscal]],2,FALSE))</f>
        <v/>
      </c>
      <c r="E355" s="29" t="s">
        <v>885</v>
      </c>
      <c r="F355" s="49" t="str">
        <f>IF(Salidas[[#This Row],[Artículo (código)]]="","",VLOOKUP(Salidas[[#This Row],[Artículo (código)]],Existencias!A:D,4,FALSE))</f>
        <v>Filete de atun aceite lata</v>
      </c>
      <c r="G355" s="12">
        <v>20</v>
      </c>
      <c r="H355" s="12" t="e">
        <f>IF(Salidas[[#This Row],[Artículo (código)]]="","",VLOOKUP(Salidas[[#This Row],[Artículo (código)]],Existencias!A:F,7,FALSE))</f>
        <v>#REF!</v>
      </c>
    </row>
    <row r="356" spans="1:8" x14ac:dyDescent="0.3">
      <c r="A356" s="12"/>
      <c r="B356" s="13">
        <v>46077</v>
      </c>
      <c r="C356" s="17">
        <v>1</v>
      </c>
      <c r="D356" s="12" t="str">
        <f>IF(Entradas[[#This Row],[Proveedor (código)]]="","",VLOOKUP(Entradas[[#This Row],[Proveedor (código)]],Proveedores[[#All],[Código]:[Nombre fiscal]],2,FALSE))</f>
        <v/>
      </c>
      <c r="E356" s="62" t="s">
        <v>1246</v>
      </c>
      <c r="F356" s="49" t="str">
        <f>IF(Salidas[[#This Row],[Artículo (código)]]="","",VLOOKUP(Salidas[[#This Row],[Artículo (código)]],Existencias!A:D,4,FALSE))</f>
        <v>Semola 200 gr</v>
      </c>
      <c r="G356" s="12">
        <v>2</v>
      </c>
      <c r="H356" s="12" t="e">
        <f>IF(Salidas[[#This Row],[Artículo (código)]]="","",VLOOKUP(Salidas[[#This Row],[Artículo (código)]],Existencias!A:F,7,FALSE))</f>
        <v>#REF!</v>
      </c>
    </row>
    <row r="357" spans="1:8" x14ac:dyDescent="0.3">
      <c r="A357" s="12"/>
      <c r="B357" s="13">
        <v>46078</v>
      </c>
      <c r="C357" s="17">
        <v>1</v>
      </c>
      <c r="D357" s="12" t="str">
        <f>IF(Entradas[[#This Row],[Proveedor (código)]]="","",VLOOKUP(Entradas[[#This Row],[Proveedor (código)]],Proveedores[[#All],[Código]:[Nombre fiscal]],2,FALSE))</f>
        <v/>
      </c>
      <c r="E357" s="29" t="s">
        <v>788</v>
      </c>
      <c r="F357" s="49" t="str">
        <f>IF(Salidas[[#This Row],[Artículo (código)]]="","",VLOOKUP(Salidas[[#This Row],[Artículo (código)]],Existencias!A:D,4,FALSE))</f>
        <v>Avena  1 kl</v>
      </c>
      <c r="G357" s="12">
        <v>1</v>
      </c>
      <c r="H357" s="12" t="e">
        <f>IF(Salidas[[#This Row],[Artículo (código)]]="","",VLOOKUP(Salidas[[#This Row],[Artículo (código)]],Existencias!A:F,7,FALSE))</f>
        <v>#REF!</v>
      </c>
    </row>
    <row r="358" spans="1:8" x14ac:dyDescent="0.3">
      <c r="A358" s="12"/>
      <c r="B358" s="13">
        <v>46078</v>
      </c>
      <c r="C358" s="17">
        <v>1</v>
      </c>
      <c r="D358" s="12" t="str">
        <f>IF(Entradas[[#This Row],[Proveedor (código)]]="","",VLOOKUP(Entradas[[#This Row],[Proveedor (código)]],Proveedores[[#All],[Código]:[Nombre fiscal]],2,FALSE))</f>
        <v/>
      </c>
      <c r="E358" s="29" t="s">
        <v>989</v>
      </c>
      <c r="F358" s="49" t="str">
        <f>IF(Salidas[[#This Row],[Artículo (código)]]="","",VLOOKUP(Salidas[[#This Row],[Artículo (código)]],Existencias!A:D,4,FALSE))</f>
        <v>Huevo pardo</v>
      </c>
      <c r="G358" s="12">
        <v>6</v>
      </c>
      <c r="H358" s="12" t="e">
        <f>IF(Salidas[[#This Row],[Artículo (código)]]="","",VLOOKUP(Salidas[[#This Row],[Artículo (código)]],Existencias!A:F,7,FALSE))</f>
        <v>#REF!</v>
      </c>
    </row>
    <row r="359" spans="1:8" x14ac:dyDescent="0.3">
      <c r="A359" s="12"/>
      <c r="B359" s="13">
        <v>46078</v>
      </c>
      <c r="C359" s="17">
        <v>1</v>
      </c>
      <c r="D359" s="12" t="str">
        <f>IF(Entradas[[#This Row],[Proveedor (código)]]="","",VLOOKUP(Entradas[[#This Row],[Proveedor (código)]],Proveedores[[#All],[Código]:[Nombre fiscal]],2,FALSE))</f>
        <v/>
      </c>
      <c r="E359" s="29" t="s">
        <v>723</v>
      </c>
      <c r="F359" s="49" t="str">
        <f>IF(Salidas[[#This Row],[Artículo (código)]]="","",VLOOKUP(Salidas[[#This Row],[Artículo (código)]],Existencias!A:D,4,FALSE))</f>
        <v>Pollo fresco entero</v>
      </c>
      <c r="G359" s="12">
        <v>7</v>
      </c>
      <c r="H359" s="12" t="e">
        <f>IF(Salidas[[#This Row],[Artículo (código)]]="","",VLOOKUP(Salidas[[#This Row],[Artículo (código)]],Existencias!A:F,7,FALSE))</f>
        <v>#REF!</v>
      </c>
    </row>
    <row r="360" spans="1:8" x14ac:dyDescent="0.3">
      <c r="A360" s="12"/>
      <c r="B360" s="13">
        <v>46078</v>
      </c>
      <c r="C360" s="17">
        <v>1</v>
      </c>
      <c r="D360" s="12" t="str">
        <f>IF(Entradas[[#This Row],[Proveedor (código)]]="","",VLOOKUP(Entradas[[#This Row],[Proveedor (código)]],Proveedores[[#All],[Código]:[Nombre fiscal]],2,FALSE))</f>
        <v/>
      </c>
      <c r="E360" s="29" t="s">
        <v>917</v>
      </c>
      <c r="F360" s="49" t="str">
        <f>IF(Salidas[[#This Row],[Artículo (código)]]="","",VLOOKUP(Salidas[[#This Row],[Artículo (código)]],Existencias!A:D,4,FALSE))</f>
        <v>Fideos largos 900 gr</v>
      </c>
      <c r="G360" s="12">
        <v>5</v>
      </c>
      <c r="H360" s="12" t="e">
        <f>IF(Salidas[[#This Row],[Artículo (código)]]="","",VLOOKUP(Salidas[[#This Row],[Artículo (código)]],Existencias!A:F,7,FALSE))</f>
        <v>#REF!</v>
      </c>
    </row>
    <row r="361" spans="1:8" x14ac:dyDescent="0.3">
      <c r="A361" s="12"/>
      <c r="B361" s="13">
        <v>46078</v>
      </c>
      <c r="C361" s="17">
        <v>1</v>
      </c>
      <c r="D361" s="12" t="str">
        <f>IF(Entradas[[#This Row],[Proveedor (código)]]="","",VLOOKUP(Entradas[[#This Row],[Proveedor (código)]],Proveedores[[#All],[Código]:[Nombre fiscal]],2,FALSE))</f>
        <v/>
      </c>
      <c r="E361" s="29" t="s">
        <v>694</v>
      </c>
      <c r="F361" s="49" t="str">
        <f>IF(Salidas[[#This Row],[Artículo (código)]]="","",VLOOKUP(Salidas[[#This Row],[Artículo (código)]],Existencias!A:D,4,FALSE))</f>
        <v>Aceite Vegetal 900 ml</v>
      </c>
      <c r="G361" s="12">
        <v>1</v>
      </c>
      <c r="H361" s="12" t="e">
        <f>IF(Salidas[[#This Row],[Artículo (código)]]="","",VLOOKUP(Salidas[[#This Row],[Artículo (código)]],Existencias!A:F,7,FALSE))</f>
        <v>#REF!</v>
      </c>
    </row>
    <row r="362" spans="1:8" x14ac:dyDescent="0.3">
      <c r="A362" s="12"/>
      <c r="B362" s="13">
        <v>46078</v>
      </c>
      <c r="C362" s="17">
        <v>1</v>
      </c>
      <c r="D362" s="12" t="str">
        <f>IF(Entradas[[#This Row],[Proveedor (código)]]="","",VLOOKUP(Entradas[[#This Row],[Proveedor (código)]],Proveedores[[#All],[Código]:[Nombre fiscal]],2,FALSE))</f>
        <v/>
      </c>
      <c r="E362" s="29" t="s">
        <v>1208</v>
      </c>
      <c r="F362" s="49" t="str">
        <f>IF(Salidas[[#This Row],[Artículo (código)]]="","",VLOOKUP(Salidas[[#This Row],[Artículo (código)]],Existencias!A:D,4,FALSE))</f>
        <v>Moron 1 kl</v>
      </c>
      <c r="G362" s="12">
        <v>0.75</v>
      </c>
      <c r="H362" s="12" t="e">
        <f>IF(Salidas[[#This Row],[Artículo (código)]]="","",VLOOKUP(Salidas[[#This Row],[Artículo (código)]],Existencias!A:F,7,FALSE))</f>
        <v>#REF!</v>
      </c>
    </row>
    <row r="363" spans="1:8" x14ac:dyDescent="0.3">
      <c r="A363" s="12"/>
      <c r="B363" s="13">
        <v>46078</v>
      </c>
      <c r="C363" s="17">
        <v>1</v>
      </c>
      <c r="D363" s="12" t="str">
        <f>IF(Entradas[[#This Row],[Proveedor (código)]]="","",VLOOKUP(Entradas[[#This Row],[Proveedor (código)]],Proveedores[[#All],[Código]:[Nombre fiscal]],2,FALSE))</f>
        <v/>
      </c>
      <c r="E363" s="29" t="s">
        <v>755</v>
      </c>
      <c r="F363" s="49" t="str">
        <f>IF(Salidas[[#This Row],[Artículo (código)]]="","",VLOOKUP(Salidas[[#This Row],[Artículo (código)]],Existencias!A:D,4,FALSE))</f>
        <v>Azucar rubia 5 kg</v>
      </c>
      <c r="G363" s="12">
        <v>1</v>
      </c>
      <c r="H363" s="12" t="e">
        <f>IF(Salidas[[#This Row],[Artículo (código)]]="","",VLOOKUP(Salidas[[#This Row],[Artículo (código)]],Existencias!A:F,7,FALSE))</f>
        <v>#REF!</v>
      </c>
    </row>
    <row r="364" spans="1:8" x14ac:dyDescent="0.3">
      <c r="A364" s="12"/>
      <c r="B364" s="13">
        <v>46079</v>
      </c>
      <c r="C364" s="17">
        <v>1</v>
      </c>
      <c r="D364" s="12" t="str">
        <f>IF(Entradas[[#This Row],[Proveedor (código)]]="","",VLOOKUP(Entradas[[#This Row],[Proveedor (código)]],Proveedores[[#All],[Código]:[Nombre fiscal]],2,FALSE))</f>
        <v/>
      </c>
      <c r="E364" s="29" t="s">
        <v>788</v>
      </c>
      <c r="F364" s="49" t="str">
        <f>IF(Salidas[[#This Row],[Artículo (código)]]="","",VLOOKUP(Salidas[[#This Row],[Artículo (código)]],Existencias!A:D,4,FALSE))</f>
        <v>Avena  1 kl</v>
      </c>
      <c r="G364" s="12">
        <v>1</v>
      </c>
      <c r="H364" s="12" t="e">
        <f>IF(Salidas[[#This Row],[Artículo (código)]]="","",VLOOKUP(Salidas[[#This Row],[Artículo (código)]],Existencias!A:F,7,FALSE))</f>
        <v>#REF!</v>
      </c>
    </row>
    <row r="365" spans="1:8" x14ac:dyDescent="0.3">
      <c r="A365" s="12"/>
      <c r="B365" s="13">
        <v>46079</v>
      </c>
      <c r="C365" s="17">
        <v>1</v>
      </c>
      <c r="D365" s="12" t="str">
        <f>IF(Entradas[[#This Row],[Proveedor (código)]]="","",VLOOKUP(Entradas[[#This Row],[Proveedor (código)]],Proveedores[[#All],[Código]:[Nombre fiscal]],2,FALSE))</f>
        <v/>
      </c>
      <c r="E365" s="29" t="s">
        <v>989</v>
      </c>
      <c r="F365" s="49" t="str">
        <f>IF(Salidas[[#This Row],[Artículo (código)]]="","",VLOOKUP(Salidas[[#This Row],[Artículo (código)]],Existencias!A:D,4,FALSE))</f>
        <v>Huevo pardo</v>
      </c>
      <c r="G365" s="12">
        <v>22</v>
      </c>
      <c r="H365" s="12" t="e">
        <f>IF(Salidas[[#This Row],[Artículo (código)]]="","",VLOOKUP(Salidas[[#This Row],[Artículo (código)]],Existencias!A:F,7,FALSE))</f>
        <v>#REF!</v>
      </c>
    </row>
    <row r="366" spans="1:8" x14ac:dyDescent="0.3">
      <c r="A366" s="12"/>
      <c r="B366" s="13">
        <v>46079</v>
      </c>
      <c r="C366" s="17">
        <v>1</v>
      </c>
      <c r="D366" s="12" t="str">
        <f>IF(Entradas[[#This Row],[Proveedor (código)]]="","",VLOOKUP(Entradas[[#This Row],[Proveedor (código)]],Proveedores[[#All],[Código]:[Nombre fiscal]],2,FALSE))</f>
        <v/>
      </c>
      <c r="E366" s="29" t="s">
        <v>800</v>
      </c>
      <c r="F366" s="49" t="str">
        <f>IF(Salidas[[#This Row],[Artículo (código)]]="","",VLOOKUP(Salidas[[#This Row],[Artículo (código)]],Existencias!A:D,4,FALSE))</f>
        <v xml:space="preserve">Arroz 5 kg </v>
      </c>
      <c r="G366" s="12">
        <v>1</v>
      </c>
      <c r="H366" s="12" t="e">
        <f>IF(Salidas[[#This Row],[Artículo (código)]]="","",VLOOKUP(Salidas[[#This Row],[Artículo (código)]],Existencias!A:F,7,FALSE))</f>
        <v>#REF!</v>
      </c>
    </row>
    <row r="367" spans="1:8" x14ac:dyDescent="0.3">
      <c r="A367" s="12"/>
      <c r="B367" s="13">
        <v>46079</v>
      </c>
      <c r="C367" s="17">
        <v>1</v>
      </c>
      <c r="D367" s="12" t="str">
        <f>IF(Entradas[[#This Row],[Proveedor (código)]]="","",VLOOKUP(Entradas[[#This Row],[Proveedor (código)]],Proveedores[[#All],[Código]:[Nombre fiscal]],2,FALSE))</f>
        <v/>
      </c>
      <c r="E367" s="29" t="s">
        <v>703</v>
      </c>
      <c r="F367" s="49" t="str">
        <f>IF(Salidas[[#This Row],[Artículo (código)]]="","",VLOOKUP(Salidas[[#This Row],[Artículo (código)]],Existencias!A:D,4,FALSE))</f>
        <v>Leche Evaporada  390 gr lata</v>
      </c>
      <c r="G367" s="12">
        <v>8</v>
      </c>
      <c r="H367" s="12" t="e">
        <f>IF(Salidas[[#This Row],[Artículo (código)]]="","",VLOOKUP(Salidas[[#This Row],[Artículo (código)]],Existencias!A:F,7,FALSE))</f>
        <v>#REF!</v>
      </c>
    </row>
    <row r="368" spans="1:8" x14ac:dyDescent="0.3">
      <c r="A368" s="12"/>
      <c r="B368" s="13">
        <v>46079</v>
      </c>
      <c r="C368" s="17">
        <v>1</v>
      </c>
      <c r="D368" s="12" t="str">
        <f>IF(Entradas[[#This Row],[Proveedor (código)]]="","",VLOOKUP(Entradas[[#This Row],[Proveedor (código)]],Proveedores[[#All],[Código]:[Nombre fiscal]],2,FALSE))</f>
        <v/>
      </c>
      <c r="E368" s="29" t="s">
        <v>949</v>
      </c>
      <c r="F368" s="49" t="str">
        <f>IF(Salidas[[#This Row],[Artículo (código)]]="","",VLOOKUP(Salidas[[#This Row],[Artículo (código)]],Existencias!A:D,4,FALSE))</f>
        <v>GELATINA 160 gr</v>
      </c>
      <c r="G368" s="12">
        <v>2</v>
      </c>
      <c r="H368" s="12" t="e">
        <f>IF(Salidas[[#This Row],[Artículo (código)]]="","",VLOOKUP(Salidas[[#This Row],[Artículo (código)]],Existencias!A:F,7,FALSE))</f>
        <v>#REF!</v>
      </c>
    </row>
    <row r="369" spans="1:8" x14ac:dyDescent="0.3">
      <c r="A369" s="12"/>
      <c r="B369" s="13">
        <v>46079</v>
      </c>
      <c r="C369" s="17">
        <v>1</v>
      </c>
      <c r="D369" s="12" t="str">
        <f>IF(Entradas[[#This Row],[Proveedor (código)]]="","",VLOOKUP(Entradas[[#This Row],[Proveedor (código)]],Proveedores[[#All],[Código]:[Nombre fiscal]],2,FALSE))</f>
        <v/>
      </c>
      <c r="E369" s="29" t="s">
        <v>694</v>
      </c>
      <c r="F369" s="49" t="str">
        <f>IF(Salidas[[#This Row],[Artículo (código)]]="","",VLOOKUP(Salidas[[#This Row],[Artículo (código)]],Existencias!A:D,4,FALSE))</f>
        <v>Aceite Vegetal 900 ml</v>
      </c>
      <c r="G369" s="12">
        <v>1</v>
      </c>
      <c r="H369" s="12" t="e">
        <f>IF(Salidas[[#This Row],[Artículo (código)]]="","",VLOOKUP(Salidas[[#This Row],[Artículo (código)]],Existencias!A:F,7,FALSE))</f>
        <v>#REF!</v>
      </c>
    </row>
    <row r="370" spans="1:8" x14ac:dyDescent="0.3">
      <c r="A370" s="12"/>
      <c r="B370" s="13">
        <v>46079</v>
      </c>
      <c r="C370" s="17">
        <v>1</v>
      </c>
      <c r="D370" s="12" t="str">
        <f>IF(Entradas[[#This Row],[Proveedor (código)]]="","",VLOOKUP(Entradas[[#This Row],[Proveedor (código)]],Proveedores[[#All],[Código]:[Nombre fiscal]],2,FALSE))</f>
        <v/>
      </c>
      <c r="E370" s="29" t="s">
        <v>723</v>
      </c>
      <c r="F370" s="49" t="str">
        <f>IF(Salidas[[#This Row],[Artículo (código)]]="","",VLOOKUP(Salidas[[#This Row],[Artículo (código)]],Existencias!A:D,4,FALSE))</f>
        <v>Pollo fresco entero</v>
      </c>
      <c r="G370" s="12">
        <v>3</v>
      </c>
      <c r="H370" s="12" t="e">
        <f>IF(Salidas[[#This Row],[Artículo (código)]]="","",VLOOKUP(Salidas[[#This Row],[Artículo (código)]],Existencias!A:F,7,FALSE))</f>
        <v>#REF!</v>
      </c>
    </row>
    <row r="371" spans="1:8" x14ac:dyDescent="0.3">
      <c r="A371" s="12"/>
      <c r="B371" s="13">
        <v>46079</v>
      </c>
      <c r="C371" s="17">
        <v>1</v>
      </c>
      <c r="D371" s="12" t="str">
        <f>IF(Entradas[[#This Row],[Proveedor (código)]]="","",VLOOKUP(Entradas[[#This Row],[Proveedor (código)]],Proveedores[[#All],[Código]:[Nombre fiscal]],2,FALSE))</f>
        <v/>
      </c>
      <c r="E371" s="29" t="s">
        <v>1325</v>
      </c>
      <c r="F371" s="49" t="str">
        <f>IF(Salidas[[#This Row],[Artículo (código)]]="","",VLOOKUP(Salidas[[#This Row],[Artículo (código)]],Existencias!A:D,4,FALSE))</f>
        <v>Hamburguesas Speciales</v>
      </c>
      <c r="G371" s="12">
        <v>8</v>
      </c>
      <c r="H371" s="12" t="e">
        <f>IF(Salidas[[#This Row],[Artículo (código)]]="","",VLOOKUP(Salidas[[#This Row],[Artículo (código)]],Existencias!A:F,7,FALSE))</f>
        <v>#REF!</v>
      </c>
    </row>
    <row r="372" spans="1:8" x14ac:dyDescent="0.3">
      <c r="A372" s="12"/>
      <c r="B372" s="13">
        <v>46080</v>
      </c>
      <c r="C372" s="17">
        <v>1</v>
      </c>
      <c r="D372" s="12" t="e">
        <f>IF(Entradas[[#This Row],[Proveedor (código)]]="","",VLOOKUP(Entradas[[#This Row],[Proveedor (código)]],Proveedores[[#All],[Código]:[Nombre fiscal]],2,FALSE))</f>
        <v>#VALUE!</v>
      </c>
      <c r="E372" s="29" t="s">
        <v>788</v>
      </c>
      <c r="F372" s="49" t="str">
        <f>IF(Salidas[[#This Row],[Artículo (código)]]="","",VLOOKUP(Salidas[[#This Row],[Artículo (código)]],Existencias!A:D,4,FALSE))</f>
        <v>Avena  1 kl</v>
      </c>
      <c r="G372" s="12">
        <v>1</v>
      </c>
      <c r="H372" s="12" t="e">
        <f>IF(Salidas[[#This Row],[Artículo (código)]]="","",VLOOKUP(Salidas[[#This Row],[Artículo (código)]],Existencias!A:F,7,FALSE))</f>
        <v>#REF!</v>
      </c>
    </row>
    <row r="373" spans="1:8" x14ac:dyDescent="0.3">
      <c r="A373" s="12"/>
      <c r="B373" s="13">
        <v>46080</v>
      </c>
      <c r="C373" s="17">
        <v>1</v>
      </c>
      <c r="D373" s="12" t="e">
        <f>IF(Entradas[[#This Row],[Proveedor (código)]]="","",VLOOKUP(Entradas[[#This Row],[Proveedor (código)]],Proveedores[[#All],[Código]:[Nombre fiscal]],2,FALSE))</f>
        <v>#VALUE!</v>
      </c>
      <c r="E373" s="29" t="s">
        <v>989</v>
      </c>
      <c r="F373" s="49" t="str">
        <f>IF(Salidas[[#This Row],[Artículo (código)]]="","",VLOOKUP(Salidas[[#This Row],[Artículo (código)]],Existencias!A:D,4,FALSE))</f>
        <v>Huevo pardo</v>
      </c>
      <c r="G373" s="12">
        <v>5</v>
      </c>
      <c r="H373" s="12" t="e">
        <f>IF(Salidas[[#This Row],[Artículo (código)]]="","",VLOOKUP(Salidas[[#This Row],[Artículo (código)]],Existencias!A:F,7,FALSE))</f>
        <v>#REF!</v>
      </c>
    </row>
    <row r="374" spans="1:8" x14ac:dyDescent="0.3">
      <c r="A374" s="12"/>
      <c r="B374" s="13">
        <v>46080</v>
      </c>
      <c r="C374" s="17">
        <v>1</v>
      </c>
      <c r="D374" s="12" t="e">
        <f>IF(Entradas[[#This Row],[Proveedor (código)]]="","",VLOOKUP(Entradas[[#This Row],[Proveedor (código)]],Proveedores[[#All],[Código]:[Nombre fiscal]],2,FALSE))</f>
        <v>#VALUE!</v>
      </c>
      <c r="E374" s="29" t="s">
        <v>723</v>
      </c>
      <c r="F374" s="49" t="str">
        <f>IF(Salidas[[#This Row],[Artículo (código)]]="","",VLOOKUP(Salidas[[#This Row],[Artículo (código)]],Existencias!A:D,4,FALSE))</f>
        <v>Pollo fresco entero</v>
      </c>
      <c r="G374" s="12">
        <v>7</v>
      </c>
      <c r="H374" s="12" t="e">
        <f>IF(Salidas[[#This Row],[Artículo (código)]]="","",VLOOKUP(Salidas[[#This Row],[Artículo (código)]],Existencias!A:F,7,FALSE))</f>
        <v>#REF!</v>
      </c>
    </row>
    <row r="375" spans="1:8" x14ac:dyDescent="0.3">
      <c r="A375" s="12"/>
      <c r="B375" s="13">
        <v>46080</v>
      </c>
      <c r="C375" s="17">
        <v>1</v>
      </c>
      <c r="D375" s="12" t="e">
        <f>IF(Entradas[[#This Row],[Proveedor (código)]]="","",VLOOKUP(Entradas[[#This Row],[Proveedor (código)]],Proveedores[[#All],[Código]:[Nombre fiscal]],2,FALSE))</f>
        <v>#VALUE!</v>
      </c>
      <c r="E375" s="29" t="s">
        <v>917</v>
      </c>
      <c r="F375" s="49" t="str">
        <f>IF(Salidas[[#This Row],[Artículo (código)]]="","",VLOOKUP(Salidas[[#This Row],[Artículo (código)]],Existencias!A:D,4,FALSE))</f>
        <v>Fideos largos 900 gr</v>
      </c>
      <c r="G375" s="12">
        <v>2</v>
      </c>
      <c r="H375" s="12" t="e">
        <f>IF(Salidas[[#This Row],[Artículo (código)]]="","",VLOOKUP(Salidas[[#This Row],[Artículo (código)]],Existencias!A:F,7,FALSE))</f>
        <v>#REF!</v>
      </c>
    </row>
    <row r="376" spans="1:8" x14ac:dyDescent="0.3">
      <c r="A376" s="12"/>
      <c r="B376" s="13">
        <v>46080</v>
      </c>
      <c r="C376" s="17">
        <v>1</v>
      </c>
      <c r="D376" s="12" t="e">
        <f>IF(Entradas[[#This Row],[Proveedor (código)]]="","",VLOOKUP(Entradas[[#This Row],[Proveedor (código)]],Proveedores[[#All],[Código]:[Nombre fiscal]],2,FALSE))</f>
        <v>#VALUE!</v>
      </c>
      <c r="E376" s="29" t="s">
        <v>694</v>
      </c>
      <c r="F376" s="49" t="str">
        <f>IF(Salidas[[#This Row],[Artículo (código)]]="","",VLOOKUP(Salidas[[#This Row],[Artículo (código)]],Existencias!A:D,4,FALSE))</f>
        <v>Aceite Vegetal 900 ml</v>
      </c>
      <c r="G376" s="12">
        <v>1</v>
      </c>
      <c r="H376" s="12" t="e">
        <f>IF(Salidas[[#This Row],[Artículo (código)]]="","",VLOOKUP(Salidas[[#This Row],[Artículo (código)]],Existencias!A:F,7,FALSE))</f>
        <v>#REF!</v>
      </c>
    </row>
    <row r="377" spans="1:8" x14ac:dyDescent="0.3">
      <c r="A377" s="12"/>
      <c r="B377" s="13">
        <v>46080</v>
      </c>
      <c r="C377" s="17">
        <v>1</v>
      </c>
      <c r="D377" s="12" t="e">
        <f>IF(Entradas[[#This Row],[Proveedor (código)]]="","",VLOOKUP(Entradas[[#This Row],[Proveedor (código)]],Proveedores[[#All],[Código]:[Nombre fiscal]],2,FALSE))</f>
        <v>#VALUE!</v>
      </c>
      <c r="E377" s="29" t="s">
        <v>800</v>
      </c>
      <c r="F377" s="49" t="str">
        <f>IF(Salidas[[#This Row],[Artículo (código)]]="","",VLOOKUP(Salidas[[#This Row],[Artículo (código)]],Existencias!A:D,4,FALSE))</f>
        <v xml:space="preserve">Arroz 5 kg </v>
      </c>
      <c r="G377" s="12">
        <v>1</v>
      </c>
      <c r="H377" s="12" t="e">
        <f>IF(Salidas[[#This Row],[Artículo (código)]]="","",VLOOKUP(Salidas[[#This Row],[Artículo (código)]],Existencias!A:F,7,FALSE))</f>
        <v>#REF!</v>
      </c>
    </row>
    <row r="378" spans="1:8" x14ac:dyDescent="0.3">
      <c r="A378" s="12"/>
      <c r="B378" s="13">
        <v>46080</v>
      </c>
      <c r="C378" s="17">
        <v>1</v>
      </c>
      <c r="D378" s="12" t="e">
        <f>IF(Entradas[[#This Row],[Proveedor (código)]]="","",VLOOKUP(Entradas[[#This Row],[Proveedor (código)]],Proveedores[[#All],[Código]:[Nombre fiscal]],2,FALSE))</f>
        <v>#VALUE!</v>
      </c>
      <c r="E378" s="29" t="s">
        <v>703</v>
      </c>
      <c r="F378" s="49" t="str">
        <f>IF(Salidas[[#This Row],[Artículo (código)]]="","",VLOOKUP(Salidas[[#This Row],[Artículo (código)]],Existencias!A:D,4,FALSE))</f>
        <v>Leche Evaporada  390 gr lata</v>
      </c>
      <c r="G378" s="12">
        <v>2</v>
      </c>
      <c r="H378" s="12" t="e">
        <f>IF(Salidas[[#This Row],[Artículo (código)]]="","",VLOOKUP(Salidas[[#This Row],[Artículo (código)]],Existencias!A:F,7,FALSE))</f>
        <v>#REF!</v>
      </c>
    </row>
    <row r="379" spans="1:8" x14ac:dyDescent="0.3">
      <c r="A379" s="12"/>
      <c r="B379" s="13">
        <v>46080</v>
      </c>
      <c r="C379" s="17">
        <v>1</v>
      </c>
      <c r="D379" s="12" t="e">
        <f>IF(Entradas[[#This Row],[Proveedor (código)]]="","",VLOOKUP(Entradas[[#This Row],[Proveedor (código)]],Proveedores[[#All],[Código]:[Nombre fiscal]],2,FALSE))</f>
        <v>#VALUE!</v>
      </c>
      <c r="E379" s="29" t="s">
        <v>709</v>
      </c>
      <c r="F379" s="49" t="str">
        <f>IF(Salidas[[#This Row],[Artículo (código)]]="","",VLOOKUP(Salidas[[#This Row],[Artículo (código)]],Existencias!A:D,4,FALSE))</f>
        <v>Sal Mesa 1kg</v>
      </c>
      <c r="G379" s="12">
        <v>1</v>
      </c>
      <c r="H379" s="12" t="e">
        <f>IF(Salidas[[#This Row],[Artículo (código)]]="","",VLOOKUP(Salidas[[#This Row],[Artículo (código)]],Existencias!A:F,7,FALSE))</f>
        <v>#REF!</v>
      </c>
    </row>
    <row r="380" spans="1:8" x14ac:dyDescent="0.3">
      <c r="A380" s="12"/>
      <c r="B380" s="13">
        <v>46081</v>
      </c>
      <c r="C380" s="17">
        <v>1</v>
      </c>
      <c r="D380" s="12" t="s">
        <v>692</v>
      </c>
      <c r="E380" s="29" t="s">
        <v>788</v>
      </c>
      <c r="F380" s="49" t="str">
        <f>IF(Salidas[[#This Row],[Artículo (código)]]="","",VLOOKUP(Salidas[[#This Row],[Artículo (código)]],Existencias!A:D,4,FALSE))</f>
        <v>Avena  1 kl</v>
      </c>
      <c r="G380" s="12">
        <v>1</v>
      </c>
      <c r="H380" s="12" t="e">
        <f>IF(Salidas[[#This Row],[Artículo (código)]]="","",VLOOKUP(Salidas[[#This Row],[Artículo (código)]],Existencias!A:F,7,FALSE))</f>
        <v>#REF!</v>
      </c>
    </row>
    <row r="381" spans="1:8" x14ac:dyDescent="0.3">
      <c r="A381" s="12"/>
      <c r="B381" s="13">
        <v>46081</v>
      </c>
      <c r="C381" s="17">
        <v>1</v>
      </c>
      <c r="D381" s="12"/>
      <c r="E381" s="29" t="s">
        <v>755</v>
      </c>
      <c r="F381" s="49" t="str">
        <f>IF(Salidas[[#This Row],[Artículo (código)]]="","",VLOOKUP(Salidas[[#This Row],[Artículo (código)]],Existencias!A:D,4,FALSE))</f>
        <v>Azucar rubia 5 kg</v>
      </c>
      <c r="G381" s="12">
        <v>1</v>
      </c>
      <c r="H381" s="12" t="e">
        <f>IF(Salidas[[#This Row],[Artículo (código)]]="","",VLOOKUP(Salidas[[#This Row],[Artículo (código)]],Existencias!A:F,7,FALSE))</f>
        <v>#REF!</v>
      </c>
    </row>
    <row r="382" spans="1:8" x14ac:dyDescent="0.3">
      <c r="A382" s="12"/>
      <c r="B382" s="13">
        <v>46081</v>
      </c>
      <c r="C382" s="17"/>
      <c r="D382" s="12" t="e">
        <f>IF(Entradas[[#This Row],[Proveedor (código)]]="","",VLOOKUP(Entradas[[#This Row],[Proveedor (código)]],Proveedores[[#All],[Código]:[Nombre fiscal]],2,FALSE))</f>
        <v>#VALUE!</v>
      </c>
      <c r="E382" s="29" t="s">
        <v>989</v>
      </c>
      <c r="F382" s="49" t="str">
        <f>IF(Salidas[[#This Row],[Artículo (código)]]="","",VLOOKUP(Salidas[[#This Row],[Artículo (código)]],Existencias!A:D,4,FALSE))</f>
        <v>Huevo pardo</v>
      </c>
      <c r="G382" s="12">
        <v>36</v>
      </c>
      <c r="H382" s="12" t="e">
        <f>IF(Salidas[[#This Row],[Artículo (código)]]="","",VLOOKUP(Salidas[[#This Row],[Artículo (código)]],Existencias!A:F,7,FALSE))</f>
        <v>#REF!</v>
      </c>
    </row>
    <row r="383" spans="1:8" x14ac:dyDescent="0.3">
      <c r="A383" s="12"/>
      <c r="B383" s="13">
        <v>46081</v>
      </c>
      <c r="C383" s="17"/>
      <c r="D383" s="12" t="e">
        <f>IF(Entradas[[#This Row],[Proveedor (código)]]="","",VLOOKUP(Entradas[[#This Row],[Proveedor (código)]],Proveedores[[#All],[Código]:[Nombre fiscal]],2,FALSE))</f>
        <v>#VALUE!</v>
      </c>
      <c r="E383" s="29" t="s">
        <v>800</v>
      </c>
      <c r="F383" s="49" t="str">
        <f>IF(Salidas[[#This Row],[Artículo (código)]]="","",VLOOKUP(Salidas[[#This Row],[Artículo (código)]],Existencias!A:D,4,FALSE))</f>
        <v xml:space="preserve">Arroz 5 kg </v>
      </c>
      <c r="G383" s="12">
        <v>1</v>
      </c>
      <c r="H383" s="12" t="e">
        <f>IF(Salidas[[#This Row],[Artículo (código)]]="","",VLOOKUP(Salidas[[#This Row],[Artículo (código)]],Existencias!A:F,7,FALSE))</f>
        <v>#REF!</v>
      </c>
    </row>
    <row r="384" spans="1:8" x14ac:dyDescent="0.3">
      <c r="A384" s="12"/>
      <c r="B384" s="13">
        <v>46081</v>
      </c>
      <c r="C384" s="17"/>
      <c r="D384" s="12" t="e">
        <f>IF(Entradas[[#This Row],[Proveedor (código)]]="","",VLOOKUP(Entradas[[#This Row],[Proveedor (código)]],Proveedores[[#All],[Código]:[Nombre fiscal]],2,FALSE))</f>
        <v>#VALUE!</v>
      </c>
      <c r="E384" s="29" t="s">
        <v>694</v>
      </c>
      <c r="F384" s="49" t="str">
        <f>IF(Salidas[[#This Row],[Artículo (código)]]="","",VLOOKUP(Salidas[[#This Row],[Artículo (código)]],Existencias!A:D,4,FALSE))</f>
        <v>Aceite Vegetal 900 ml</v>
      </c>
      <c r="G384" s="12">
        <v>1</v>
      </c>
      <c r="H384" s="12" t="e">
        <f>IF(Salidas[[#This Row],[Artículo (código)]]="","",VLOOKUP(Salidas[[#This Row],[Artículo (código)]],Existencias!A:F,7,FALSE))</f>
        <v>#REF!</v>
      </c>
    </row>
    <row r="385" spans="1:8" x14ac:dyDescent="0.3">
      <c r="A385" s="12"/>
      <c r="B385" s="13">
        <v>46081</v>
      </c>
      <c r="C385" s="17"/>
      <c r="D385" s="12" t="e">
        <f>IF(Entradas[[#This Row],[Proveedor (código)]]="","",VLOOKUP(Entradas[[#This Row],[Proveedor (código)]],Proveedores[[#All],[Código]:[Nombre fiscal]],2,FALSE))</f>
        <v>#VALUE!</v>
      </c>
      <c r="E385" s="29" t="s">
        <v>703</v>
      </c>
      <c r="F385" s="49" t="str">
        <f>IF(Salidas[[#This Row],[Artículo (código)]]="","",VLOOKUP(Salidas[[#This Row],[Artículo (código)]],Existencias!A:D,4,FALSE))</f>
        <v>Leche Evaporada  390 gr lata</v>
      </c>
      <c r="G385" s="12">
        <v>2</v>
      </c>
      <c r="H385" s="12" t="e">
        <f>IF(Salidas[[#This Row],[Artículo (código)]]="","",VLOOKUP(Salidas[[#This Row],[Artículo (código)]],Existencias!A:F,7,FALSE))</f>
        <v>#REF!</v>
      </c>
    </row>
    <row r="386" spans="1:8" x14ac:dyDescent="0.3">
      <c r="A386" s="12"/>
      <c r="B386" s="13">
        <v>46081</v>
      </c>
      <c r="C386" s="17"/>
      <c r="D386" s="12" t="e">
        <f>IF(Entradas[[#This Row],[Proveedor (código)]]="","",VLOOKUP(Entradas[[#This Row],[Proveedor (código)]],Proveedores[[#All],[Código]:[Nombre fiscal]],2,FALSE))</f>
        <v>#VALUE!</v>
      </c>
      <c r="E386" s="29" t="s">
        <v>709</v>
      </c>
      <c r="F386" s="49" t="str">
        <f>IF(Salidas[[#This Row],[Artículo (código)]]="","",VLOOKUP(Salidas[[#This Row],[Artículo (código)]],Existencias!A:D,4,FALSE))</f>
        <v>Sal Mesa 1kg</v>
      </c>
      <c r="G386" s="12">
        <v>1</v>
      </c>
      <c r="H386" s="12" t="e">
        <f>IF(Salidas[[#This Row],[Artículo (código)]]="","",VLOOKUP(Salidas[[#This Row],[Artículo (código)]],Existencias!A:F,7,FALSE))</f>
        <v>#REF!</v>
      </c>
    </row>
    <row r="387" spans="1:8" x14ac:dyDescent="0.3">
      <c r="A387" s="12"/>
      <c r="B387" s="13">
        <v>46081</v>
      </c>
      <c r="C387" s="17"/>
      <c r="D387" s="12" t="e">
        <f>IF(Entradas[[#This Row],[Proveedor (código)]]="","",VLOOKUP(Entradas[[#This Row],[Proveedor (código)]],Proveedores[[#All],[Código]:[Nombre fiscal]],2,FALSE))</f>
        <v>#VALUE!</v>
      </c>
      <c r="E387" s="29" t="s">
        <v>847</v>
      </c>
      <c r="F387" s="49" t="str">
        <f>IF(Salidas[[#This Row],[Artículo (código)]]="","",VLOOKUP(Salidas[[#This Row],[Artículo (código)]],Existencias!A:D,4,FALSE))</f>
        <v>Salsa de tomate 290 gr</v>
      </c>
      <c r="G387" s="12">
        <v>1</v>
      </c>
      <c r="H387" s="12" t="e">
        <f>IF(Salidas[[#This Row],[Artículo (código)]]="","",VLOOKUP(Salidas[[#This Row],[Artículo (código)]],Existencias!A:F,7,FALSE))</f>
        <v>#REF!</v>
      </c>
    </row>
    <row r="388" spans="1:8" x14ac:dyDescent="0.3">
      <c r="A388" s="12"/>
      <c r="B388" s="13">
        <v>46082</v>
      </c>
      <c r="C388" s="17"/>
      <c r="D388" s="12" t="e">
        <f>IF(Entradas[[#This Row],[Proveedor (código)]]="","",VLOOKUP(Entradas[[#This Row],[Proveedor (código)]],Proveedores[[#All],[Código]:[Nombre fiscal]],2,FALSE))</f>
        <v>#VALUE!</v>
      </c>
      <c r="E388" s="29" t="s">
        <v>788</v>
      </c>
      <c r="F388" s="49" t="str">
        <f>IF(Salidas[[#This Row],[Artículo (código)]]="","",VLOOKUP(Salidas[[#This Row],[Artículo (código)]],Existencias!A:D,4,FALSE))</f>
        <v>Avena  1 kl</v>
      </c>
      <c r="G388" s="12">
        <v>1</v>
      </c>
      <c r="H388" s="12" t="e">
        <f>IF(Salidas[[#This Row],[Artículo (código)]]="","",VLOOKUP(Salidas[[#This Row],[Artículo (código)]],Existencias!A:F,7,FALSE))</f>
        <v>#REF!</v>
      </c>
    </row>
    <row r="389" spans="1:8" x14ac:dyDescent="0.3">
      <c r="A389" s="12"/>
      <c r="B389" s="13">
        <v>46082</v>
      </c>
      <c r="C389" s="17"/>
      <c r="D389" s="12" t="e">
        <f>IF(Entradas[[#This Row],[Proveedor (código)]]="","",VLOOKUP(Entradas[[#This Row],[Proveedor (código)]],Proveedores[[#All],[Código]:[Nombre fiscal]],2,FALSE))</f>
        <v>#VALUE!</v>
      </c>
      <c r="E389" s="29" t="s">
        <v>723</v>
      </c>
      <c r="F389" s="49" t="str">
        <f>IF(Salidas[[#This Row],[Artículo (código)]]="","",VLOOKUP(Salidas[[#This Row],[Artículo (código)]],Existencias!A:D,4,FALSE))</f>
        <v>Pollo fresco entero</v>
      </c>
      <c r="G389" s="12">
        <v>2</v>
      </c>
      <c r="H389" s="12" t="e">
        <f>IF(Salidas[[#This Row],[Artículo (código)]]="","",VLOOKUP(Salidas[[#This Row],[Artículo (código)]],Existencias!A:F,7,FALSE))</f>
        <v>#REF!</v>
      </c>
    </row>
    <row r="390" spans="1:8" x14ac:dyDescent="0.3">
      <c r="A390" s="12"/>
      <c r="B390" s="13">
        <v>46082</v>
      </c>
      <c r="C390" s="17"/>
      <c r="D390" s="12" t="e">
        <f>IF(Entradas[[#This Row],[Proveedor (código)]]="","",VLOOKUP(Entradas[[#This Row],[Proveedor (código)]],Proveedores[[#All],[Código]:[Nombre fiscal]],2,FALSE))</f>
        <v>#VALUE!</v>
      </c>
      <c r="E390" s="29" t="s">
        <v>916</v>
      </c>
      <c r="F390" s="49" t="str">
        <f>IF(Salidas[[#This Row],[Artículo (código)]]="","",VLOOKUP(Salidas[[#This Row],[Artículo (código)]],Existencias!A:D,4,FALSE))</f>
        <v>Fideos largos 500 gr</v>
      </c>
      <c r="G390" s="12">
        <v>5</v>
      </c>
      <c r="H390" s="12" t="e">
        <f>IF(Salidas[[#This Row],[Artículo (código)]]="","",VLOOKUP(Salidas[[#This Row],[Artículo (código)]],Existencias!A:F,7,FALSE))</f>
        <v>#REF!</v>
      </c>
    </row>
    <row r="391" spans="1:8" x14ac:dyDescent="0.3">
      <c r="A391" s="12"/>
      <c r="B391" s="13">
        <v>46082</v>
      </c>
      <c r="C391" s="17"/>
      <c r="D391" s="12" t="e">
        <f>IF(Entradas[[#This Row],[Proveedor (código)]]="","",VLOOKUP(Entradas[[#This Row],[Proveedor (código)]],Proveedores[[#All],[Código]:[Nombre fiscal]],2,FALSE))</f>
        <v>#VALUE!</v>
      </c>
      <c r="E391" s="29" t="s">
        <v>887</v>
      </c>
      <c r="F391" s="49" t="str">
        <f>IF(Salidas[[#This Row],[Artículo (código)]]="","",VLOOKUP(Salidas[[#This Row],[Artículo (código)]],Existencias!A:D,4,FALSE))</f>
        <v>Trozo de atun aceite lata</v>
      </c>
      <c r="G391" s="12">
        <v>9</v>
      </c>
      <c r="H391" s="12" t="e">
        <f>IF(Salidas[[#This Row],[Artículo (código)]]="","",VLOOKUP(Salidas[[#This Row],[Artículo (código)]],Existencias!A:F,7,FALSE))</f>
        <v>#REF!</v>
      </c>
    </row>
    <row r="392" spans="1:8" x14ac:dyDescent="0.3">
      <c r="A392" s="12"/>
      <c r="B392" s="13">
        <v>46082</v>
      </c>
      <c r="C392" s="17"/>
      <c r="D392" s="12" t="e">
        <f>IF(Entradas[[#This Row],[Proveedor (código)]]="","",VLOOKUP(Entradas[[#This Row],[Proveedor (código)]],Proveedores[[#All],[Código]:[Nombre fiscal]],2,FALSE))</f>
        <v>#VALUE!</v>
      </c>
      <c r="E392" s="29" t="s">
        <v>847</v>
      </c>
      <c r="F392" s="49" t="str">
        <f>IF(Salidas[[#This Row],[Artículo (código)]]="","",VLOOKUP(Salidas[[#This Row],[Artículo (código)]],Existencias!A:D,4,FALSE))</f>
        <v>Salsa de tomate 290 gr</v>
      </c>
      <c r="G392" s="12">
        <v>1</v>
      </c>
      <c r="H392" s="12" t="e">
        <f>IF(Salidas[[#This Row],[Artículo (código)]]="","",VLOOKUP(Salidas[[#This Row],[Artículo (código)]],Existencias!A:F,7,FALSE))</f>
        <v>#REF!</v>
      </c>
    </row>
    <row r="393" spans="1:8" x14ac:dyDescent="0.3">
      <c r="A393" s="12"/>
      <c r="B393" s="13">
        <v>46083</v>
      </c>
      <c r="C393" s="17"/>
      <c r="D393" s="12" t="e">
        <f>IF(Entradas[[#This Row],[Proveedor (código)]]="","",VLOOKUP(Entradas[[#This Row],[Proveedor (código)]],Proveedores[[#All],[Código]:[Nombre fiscal]],2,FALSE))</f>
        <v>#VALUE!</v>
      </c>
      <c r="E393" s="29" t="s">
        <v>788</v>
      </c>
      <c r="F393" s="49" t="str">
        <f>IF(Salidas[[#This Row],[Artículo (código)]]="","",VLOOKUP(Salidas[[#This Row],[Artículo (código)]],Existencias!A:D,4,FALSE))</f>
        <v>Avena  1 kl</v>
      </c>
      <c r="G393" s="12">
        <v>1</v>
      </c>
      <c r="H393" s="12" t="e">
        <f>IF(Salidas[[#This Row],[Artículo (código)]]="","",VLOOKUP(Salidas[[#This Row],[Artículo (código)]],Existencias!A:F,7,FALSE))</f>
        <v>#REF!</v>
      </c>
    </row>
    <row r="394" spans="1:8" x14ac:dyDescent="0.3">
      <c r="A394" s="12"/>
      <c r="B394" s="13">
        <v>46083</v>
      </c>
      <c r="C394" s="17"/>
      <c r="D394" s="12" t="e">
        <f>IF(Entradas[[#This Row],[Proveedor (código)]]="","",VLOOKUP(Entradas[[#This Row],[Proveedor (código)]],Proveedores[[#All],[Código]:[Nombre fiscal]],2,FALSE))</f>
        <v>#VALUE!</v>
      </c>
      <c r="E394" s="29" t="s">
        <v>989</v>
      </c>
      <c r="F394" s="49" t="str">
        <f>IF(Salidas[[#This Row],[Artículo (código)]]="","",VLOOKUP(Salidas[[#This Row],[Artículo (código)]],Existencias!A:D,4,FALSE))</f>
        <v>Huevo pardo</v>
      </c>
      <c r="G394" s="12">
        <v>6</v>
      </c>
      <c r="H394" s="12" t="e">
        <f>IF(Salidas[[#This Row],[Artículo (código)]]="","",VLOOKUP(Salidas[[#This Row],[Artículo (código)]],Existencias!A:F,7,FALSE))</f>
        <v>#REF!</v>
      </c>
    </row>
    <row r="395" spans="1:8" x14ac:dyDescent="0.3">
      <c r="A395" s="12"/>
      <c r="B395" s="13">
        <v>46083</v>
      </c>
      <c r="C395" s="17"/>
      <c r="D395" s="12" t="e">
        <f>IF(Entradas[[#This Row],[Proveedor (código)]]="","",VLOOKUP(Entradas[[#This Row],[Proveedor (código)]],Proveedores[[#All],[Código]:[Nombre fiscal]],2,FALSE))</f>
        <v>#VALUE!</v>
      </c>
      <c r="E395" s="29" t="s">
        <v>800</v>
      </c>
      <c r="F395" s="49" t="str">
        <f>IF(Salidas[[#This Row],[Artículo (código)]]="","",VLOOKUP(Salidas[[#This Row],[Artículo (código)]],Existencias!A:D,4,FALSE))</f>
        <v xml:space="preserve">Arroz 5 kg </v>
      </c>
      <c r="G395" s="12">
        <v>1</v>
      </c>
      <c r="H395" s="12" t="e">
        <f>IF(Salidas[[#This Row],[Artículo (código)]]="","",VLOOKUP(Salidas[[#This Row],[Artículo (código)]],Existencias!A:F,7,FALSE))</f>
        <v>#REF!</v>
      </c>
    </row>
    <row r="396" spans="1:8" x14ac:dyDescent="0.3">
      <c r="A396" s="12"/>
      <c r="B396" s="13">
        <v>46083</v>
      </c>
      <c r="C396" s="17"/>
      <c r="D396" s="12" t="e">
        <f>IF(Entradas[[#This Row],[Proveedor (código)]]="","",VLOOKUP(Entradas[[#This Row],[Proveedor (código)]],Proveedores[[#All],[Código]:[Nombre fiscal]],2,FALSE))</f>
        <v>#VALUE!</v>
      </c>
      <c r="E396" s="29" t="s">
        <v>847</v>
      </c>
      <c r="F396" s="49" t="str">
        <f>IF(Salidas[[#This Row],[Artículo (código)]]="","",VLOOKUP(Salidas[[#This Row],[Artículo (código)]],Existencias!A:D,4,FALSE))</f>
        <v>Salsa de tomate 290 gr</v>
      </c>
      <c r="G396" s="12">
        <v>2</v>
      </c>
      <c r="H396" s="12" t="e">
        <f>IF(Salidas[[#This Row],[Artículo (código)]]="","",VLOOKUP(Salidas[[#This Row],[Artículo (código)]],Existencias!A:F,7,FALSE))</f>
        <v>#REF!</v>
      </c>
    </row>
    <row r="397" spans="1:8" x14ac:dyDescent="0.3">
      <c r="A397" s="12"/>
      <c r="B397" s="13">
        <v>46083</v>
      </c>
      <c r="C397" s="17"/>
      <c r="D397" s="12" t="e">
        <f>IF(Entradas[[#This Row],[Proveedor (código)]]="","",VLOOKUP(Entradas[[#This Row],[Proveedor (código)]],Proveedores[[#All],[Código]:[Nombre fiscal]],2,FALSE))</f>
        <v>#VALUE!</v>
      </c>
      <c r="E397" s="29" t="s">
        <v>694</v>
      </c>
      <c r="F397" s="49" t="str">
        <f>IF(Salidas[[#This Row],[Artículo (código)]]="","",VLOOKUP(Salidas[[#This Row],[Artículo (código)]],Existencias!A:D,4,FALSE))</f>
        <v>Aceite Vegetal 900 ml</v>
      </c>
      <c r="G397" s="12">
        <v>1</v>
      </c>
      <c r="H397" s="12" t="e">
        <f>IF(Salidas[[#This Row],[Artículo (código)]]="","",VLOOKUP(Salidas[[#This Row],[Artículo (código)]],Existencias!A:F,7,FALSE))</f>
        <v>#REF!</v>
      </c>
    </row>
    <row r="398" spans="1:8" x14ac:dyDescent="0.3">
      <c r="A398" s="12"/>
      <c r="B398" s="13">
        <v>46083</v>
      </c>
      <c r="C398" s="17"/>
      <c r="D398" s="12" t="e">
        <f>IF(Entradas[[#This Row],[Proveedor (código)]]="","",VLOOKUP(Entradas[[#This Row],[Proveedor (código)]],Proveedores[[#All],[Código]:[Nombre fiscal]],2,FALSE))</f>
        <v>#VALUE!</v>
      </c>
      <c r="E398" s="29" t="s">
        <v>1246</v>
      </c>
      <c r="F398" s="49" t="str">
        <f>IF(Salidas[[#This Row],[Artículo (código)]]="","",VLOOKUP(Salidas[[#This Row],[Artículo (código)]],Existencias!A:D,4,FALSE))</f>
        <v>Semola 200 gr</v>
      </c>
      <c r="G398" s="12">
        <v>2</v>
      </c>
      <c r="H398" s="12" t="e">
        <f>IF(Salidas[[#This Row],[Artículo (código)]]="","",VLOOKUP(Salidas[[#This Row],[Artículo (código)]],Existencias!A:F,7,FALSE))</f>
        <v>#REF!</v>
      </c>
    </row>
    <row r="399" spans="1:8" x14ac:dyDescent="0.3">
      <c r="A399" s="12"/>
      <c r="B399" s="13">
        <v>46083</v>
      </c>
      <c r="C399" s="17"/>
      <c r="D399" s="12" t="e">
        <f>IF(Entradas[[#This Row],[Proveedor (código)]]="","",VLOOKUP(Entradas[[#This Row],[Proveedor (código)]],Proveedores[[#All],[Código]:[Nombre fiscal]],2,FALSE))</f>
        <v>#VALUE!</v>
      </c>
      <c r="E399" s="29" t="s">
        <v>723</v>
      </c>
      <c r="F399" s="49" t="str">
        <f>IF(Salidas[[#This Row],[Artículo (código)]]="","",VLOOKUP(Salidas[[#This Row],[Artículo (código)]],Existencias!A:D,4,FALSE))</f>
        <v>Pollo fresco entero</v>
      </c>
      <c r="G399" s="12">
        <v>7</v>
      </c>
      <c r="H399" s="12" t="e">
        <f>IF(Salidas[[#This Row],[Artículo (código)]]="","",VLOOKUP(Salidas[[#This Row],[Artículo (código)]],Existencias!A:F,7,FALSE))</f>
        <v>#REF!</v>
      </c>
    </row>
    <row r="400" spans="1:8" x14ac:dyDescent="0.3">
      <c r="A400" s="12"/>
      <c r="B400" s="13">
        <v>46084</v>
      </c>
      <c r="C400" s="17"/>
      <c r="D400" s="12" t="e">
        <f>IF(Entradas[[#This Row],[Proveedor (código)]]="","",VLOOKUP(Entradas[[#This Row],[Proveedor (código)]],Proveedores[[#All],[Código]:[Nombre fiscal]],2,FALSE))</f>
        <v>#VALUE!</v>
      </c>
      <c r="E400" s="29" t="s">
        <v>1226</v>
      </c>
      <c r="F400" s="49" t="str">
        <f>IF(Salidas[[#This Row],[Artículo (código)]]="","",VLOOKUP(Salidas[[#This Row],[Artículo (código)]],Existencias!A:D,4,FALSE))</f>
        <v>Quinua 500 gr</v>
      </c>
      <c r="G400" s="12">
        <v>1</v>
      </c>
      <c r="H400" s="12" t="e">
        <f>IF(Salidas[[#This Row],[Artículo (código)]]="","",VLOOKUP(Salidas[[#This Row],[Artículo (código)]],Existencias!A:F,7,FALSE))</f>
        <v>#REF!</v>
      </c>
    </row>
    <row r="401" spans="1:8" x14ac:dyDescent="0.3">
      <c r="A401" s="12"/>
      <c r="B401" s="13">
        <v>46084</v>
      </c>
      <c r="C401" s="17"/>
      <c r="D401" s="12" t="e">
        <f>IF(Entradas[[#This Row],[Proveedor (código)]]="","",VLOOKUP(Entradas[[#This Row],[Proveedor (código)]],Proveedores[[#All],[Código]:[Nombre fiscal]],2,FALSE))</f>
        <v>#VALUE!</v>
      </c>
      <c r="E401" s="29" t="s">
        <v>989</v>
      </c>
      <c r="F401" s="49" t="str">
        <f>IF(Salidas[[#This Row],[Artículo (código)]]="","",VLOOKUP(Salidas[[#This Row],[Artículo (código)]],Existencias!A:D,4,FALSE))</f>
        <v>Huevo pardo</v>
      </c>
      <c r="G401" s="12">
        <v>35</v>
      </c>
      <c r="H401" s="12" t="e">
        <f>IF(Salidas[[#This Row],[Artículo (código)]]="","",VLOOKUP(Salidas[[#This Row],[Artículo (código)]],Existencias!A:F,7,FALSE))</f>
        <v>#REF!</v>
      </c>
    </row>
    <row r="402" spans="1:8" x14ac:dyDescent="0.3">
      <c r="A402" s="12"/>
      <c r="B402" s="13">
        <v>46084</v>
      </c>
      <c r="C402" s="17"/>
      <c r="D402" s="12" t="e">
        <f>IF(Entradas[[#This Row],[Proveedor (código)]]="","",VLOOKUP(Entradas[[#This Row],[Proveedor (código)]],Proveedores[[#All],[Código]:[Nombre fiscal]],2,FALSE))</f>
        <v>#VALUE!</v>
      </c>
      <c r="E402" s="29" t="s">
        <v>800</v>
      </c>
      <c r="F402" s="49" t="str">
        <f>IF(Salidas[[#This Row],[Artículo (código)]]="","",VLOOKUP(Salidas[[#This Row],[Artículo (código)]],Existencias!A:D,4,FALSE))</f>
        <v xml:space="preserve">Arroz 5 kg </v>
      </c>
      <c r="G402" s="12">
        <v>1</v>
      </c>
      <c r="H402" s="12" t="e">
        <f>IF(Salidas[[#This Row],[Artículo (código)]]="","",VLOOKUP(Salidas[[#This Row],[Artículo (código)]],Existencias!A:F,7,FALSE))</f>
        <v>#REF!</v>
      </c>
    </row>
    <row r="403" spans="1:8" x14ac:dyDescent="0.3">
      <c r="A403" s="12"/>
      <c r="B403" s="13">
        <v>46084</v>
      </c>
      <c r="C403" s="17"/>
      <c r="D403" s="12" t="e">
        <f>IF(Entradas[[#This Row],[Proveedor (código)]]="","",VLOOKUP(Entradas[[#This Row],[Proveedor (código)]],Proveedores[[#All],[Código]:[Nombre fiscal]],2,FALSE))</f>
        <v>#VALUE!</v>
      </c>
      <c r="E403" s="29" t="s">
        <v>1196</v>
      </c>
      <c r="F403" s="49" t="str">
        <f>IF(Salidas[[#This Row],[Artículo (código)]]="","",VLOOKUP(Salidas[[#This Row],[Artículo (código)]],Existencias!A:D,4,FALSE))</f>
        <v>Lenteja 500 gr</v>
      </c>
      <c r="G403" s="12">
        <v>3</v>
      </c>
      <c r="H403" s="12" t="e">
        <f>IF(Salidas[[#This Row],[Artículo (código)]]="","",VLOOKUP(Salidas[[#This Row],[Artículo (código)]],Existencias!A:F,7,FALSE))</f>
        <v>#REF!</v>
      </c>
    </row>
    <row r="404" spans="1:8" x14ac:dyDescent="0.3">
      <c r="A404" s="12"/>
      <c r="B404" s="13">
        <v>46084</v>
      </c>
      <c r="C404" s="17"/>
      <c r="D404" s="12" t="e">
        <f>IF(Entradas[[#This Row],[Proveedor (código)]]="","",VLOOKUP(Entradas[[#This Row],[Proveedor (código)]],Proveedores[[#All],[Código]:[Nombre fiscal]],2,FALSE))</f>
        <v>#VALUE!</v>
      </c>
      <c r="E404" s="29" t="s">
        <v>694</v>
      </c>
      <c r="F404" s="49" t="str">
        <f>IF(Salidas[[#This Row],[Artículo (código)]]="","",VLOOKUP(Salidas[[#This Row],[Artículo (código)]],Existencias!A:D,4,FALSE))</f>
        <v>Aceite Vegetal 900 ml</v>
      </c>
      <c r="G404" s="12">
        <v>1</v>
      </c>
      <c r="H404" s="12" t="e">
        <f>IF(Salidas[[#This Row],[Artículo (código)]]="","",VLOOKUP(Salidas[[#This Row],[Artículo (código)]],Existencias!A:F,7,FALSE))</f>
        <v>#REF!</v>
      </c>
    </row>
    <row r="405" spans="1:8" x14ac:dyDescent="0.3">
      <c r="A405" s="12"/>
      <c r="B405" s="13">
        <v>46084</v>
      </c>
      <c r="C405" s="17"/>
      <c r="D405" s="12" t="e">
        <f>IF(Entradas[[#This Row],[Proveedor (código)]]="","",VLOOKUP(Entradas[[#This Row],[Proveedor (código)]],Proveedores[[#All],[Código]:[Nombre fiscal]],2,FALSE))</f>
        <v>#VALUE!</v>
      </c>
      <c r="E405" s="29" t="s">
        <v>847</v>
      </c>
      <c r="F405" s="49" t="str">
        <f>IF(Salidas[[#This Row],[Artículo (código)]]="","",VLOOKUP(Salidas[[#This Row],[Artículo (código)]],Existencias!A:D,4,FALSE))</f>
        <v>Salsa de tomate 290 gr</v>
      </c>
      <c r="G405" s="12">
        <v>1</v>
      </c>
      <c r="H405" s="12" t="e">
        <f>IF(Salidas[[#This Row],[Artículo (código)]]="","",VLOOKUP(Salidas[[#This Row],[Artículo (código)]],Existencias!A:F,7,FALSE))</f>
        <v>#REF!</v>
      </c>
    </row>
    <row r="406" spans="1:8" x14ac:dyDescent="0.3">
      <c r="A406" s="12"/>
      <c r="B406" s="13">
        <v>46084</v>
      </c>
      <c r="C406" s="17"/>
      <c r="D406" s="12" t="e">
        <f>IF(Entradas[[#This Row],[Proveedor (código)]]="","",VLOOKUP(Entradas[[#This Row],[Proveedor (código)]],Proveedores[[#All],[Código]:[Nombre fiscal]],2,FALSE))</f>
        <v>#VALUE!</v>
      </c>
      <c r="E406" s="29" t="s">
        <v>709</v>
      </c>
      <c r="F406" s="49" t="str">
        <f>IF(Salidas[[#This Row],[Artículo (código)]]="","",VLOOKUP(Salidas[[#This Row],[Artículo (código)]],Existencias!A:D,4,FALSE))</f>
        <v>Sal Mesa 1kg</v>
      </c>
      <c r="G406" s="12">
        <v>1</v>
      </c>
      <c r="H406" s="12" t="e">
        <f>IF(Salidas[[#This Row],[Artículo (código)]]="","",VLOOKUP(Salidas[[#This Row],[Artículo (código)]],Existencias!A:F,7,FALSE))</f>
        <v>#REF!</v>
      </c>
    </row>
    <row r="407" spans="1:8" x14ac:dyDescent="0.3">
      <c r="A407" s="12"/>
      <c r="B407" s="13">
        <v>46084</v>
      </c>
      <c r="C407" s="17"/>
      <c r="D407" s="12" t="e">
        <f>IF(Entradas[[#This Row],[Proveedor (código)]]="","",VLOOKUP(Entradas[[#This Row],[Proveedor (código)]],Proveedores[[#All],[Código]:[Nombre fiscal]],2,FALSE))</f>
        <v>#VALUE!</v>
      </c>
      <c r="E407" s="29" t="s">
        <v>919</v>
      </c>
      <c r="F407" s="49" t="str">
        <f>IF(Salidas[[#This Row],[Artículo (código)]]="","",VLOOKUP(Salidas[[#This Row],[Artículo (código)]],Existencias!A:D,4,FALSE))</f>
        <v>Fideos cortos 250 gr</v>
      </c>
      <c r="G407" s="12">
        <v>2</v>
      </c>
      <c r="H407" s="12" t="e">
        <f>IF(Salidas[[#This Row],[Artículo (código)]]="","",VLOOKUP(Salidas[[#This Row],[Artículo (código)]],Existencias!A:F,7,FALSE))</f>
        <v>#REF!</v>
      </c>
    </row>
    <row r="408" spans="1:8" x14ac:dyDescent="0.3">
      <c r="A408" s="12"/>
      <c r="B408" s="13">
        <v>46086</v>
      </c>
      <c r="C408" s="17"/>
      <c r="D408" s="12" t="e">
        <f>IF(Entradas[[#This Row],[Proveedor (código)]]="","",VLOOKUP(Entradas[[#This Row],[Proveedor (código)]],Proveedores[[#All],[Código]:[Nombre fiscal]],2,FALSE))</f>
        <v>#VALUE!</v>
      </c>
      <c r="E408" s="29" t="s">
        <v>788</v>
      </c>
      <c r="F408" s="49" t="str">
        <f>IF(Salidas[[#This Row],[Artículo (código)]]="","",VLOOKUP(Salidas[[#This Row],[Artículo (código)]],Existencias!A:D,4,FALSE))</f>
        <v>Avena  1 kl</v>
      </c>
      <c r="G408" s="12">
        <v>1</v>
      </c>
      <c r="H408" s="12" t="e">
        <f>IF(Salidas[[#This Row],[Artículo (código)]]="","",VLOOKUP(Salidas[[#This Row],[Artículo (código)]],Existencias!A:F,7,FALSE))</f>
        <v>#REF!</v>
      </c>
    </row>
    <row r="409" spans="1:8" x14ac:dyDescent="0.3">
      <c r="A409" s="12"/>
      <c r="B409" s="13">
        <v>46086</v>
      </c>
      <c r="C409" s="17"/>
      <c r="D409" s="12" t="e">
        <f>IF(Entradas[[#This Row],[Proveedor (código)]]="","",VLOOKUP(Entradas[[#This Row],[Proveedor (código)]],Proveedores[[#All],[Código]:[Nombre fiscal]],2,FALSE))</f>
        <v>#VALUE!</v>
      </c>
      <c r="E409" s="29" t="s">
        <v>989</v>
      </c>
      <c r="F409" s="49" t="str">
        <f>IF(Salidas[[#This Row],[Artículo (código)]]="","",VLOOKUP(Salidas[[#This Row],[Artículo (código)]],Existencias!A:D,4,FALSE))</f>
        <v>Huevo pardo</v>
      </c>
      <c r="G409" s="12">
        <v>6</v>
      </c>
      <c r="H409" s="12" t="e">
        <f>IF(Salidas[[#This Row],[Artículo (código)]]="","",VLOOKUP(Salidas[[#This Row],[Artículo (código)]],Existencias!A:F,7,FALSE))</f>
        <v>#REF!</v>
      </c>
    </row>
    <row r="410" spans="1:8" x14ac:dyDescent="0.3">
      <c r="A410" s="12"/>
      <c r="B410" s="13">
        <v>46086</v>
      </c>
      <c r="C410" s="17"/>
      <c r="D410" s="12" t="e">
        <f>IF(Entradas[[#This Row],[Proveedor (código)]]="","",VLOOKUP(Entradas[[#This Row],[Proveedor (código)]],Proveedores[[#All],[Código]:[Nombre fiscal]],2,FALSE))</f>
        <v>#VALUE!</v>
      </c>
      <c r="E410" s="29" t="s">
        <v>847</v>
      </c>
      <c r="F410" s="49" t="str">
        <f>IF(Salidas[[#This Row],[Artículo (código)]]="","",VLOOKUP(Salidas[[#This Row],[Artículo (código)]],Existencias!A:D,4,FALSE))</f>
        <v>Salsa de tomate 290 gr</v>
      </c>
      <c r="G410" s="12">
        <v>2</v>
      </c>
      <c r="H410" s="12" t="e">
        <f>IF(Salidas[[#This Row],[Artículo (código)]]="","",VLOOKUP(Salidas[[#This Row],[Artículo (código)]],Existencias!A:F,7,FALSE))</f>
        <v>#REF!</v>
      </c>
    </row>
    <row r="411" spans="1:8" x14ac:dyDescent="0.3">
      <c r="A411" s="12"/>
      <c r="B411" s="13">
        <v>46086</v>
      </c>
      <c r="C411" s="17"/>
      <c r="D411" s="12" t="e">
        <f>IF(Entradas[[#This Row],[Proveedor (código)]]="","",VLOOKUP(Entradas[[#This Row],[Proveedor (código)]],Proveedores[[#All],[Código]:[Nombre fiscal]],2,FALSE))</f>
        <v>#VALUE!</v>
      </c>
      <c r="E411" s="29" t="s">
        <v>919</v>
      </c>
      <c r="F411" s="49" t="str">
        <f>IF(Salidas[[#This Row],[Artículo (código)]]="","",VLOOKUP(Salidas[[#This Row],[Artículo (código)]],Existencias!A:D,4,FALSE))</f>
        <v>Fideos cortos 250 gr</v>
      </c>
      <c r="G411" s="12">
        <v>4</v>
      </c>
      <c r="H411" s="12" t="e">
        <f>IF(Salidas[[#This Row],[Artículo (código)]]="","",VLOOKUP(Salidas[[#This Row],[Artículo (código)]],Existencias!A:F,7,FALSE))</f>
        <v>#REF!</v>
      </c>
    </row>
    <row r="412" spans="1:8" x14ac:dyDescent="0.3">
      <c r="A412" s="12"/>
      <c r="B412" s="13">
        <v>46086</v>
      </c>
      <c r="C412" s="17"/>
      <c r="D412" s="12" t="e">
        <f>IF(Entradas[[#This Row],[Proveedor (código)]]="","",VLOOKUP(Entradas[[#This Row],[Proveedor (código)]],Proveedores[[#All],[Código]:[Nombre fiscal]],2,FALSE))</f>
        <v>#VALUE!</v>
      </c>
      <c r="E412" s="29" t="s">
        <v>723</v>
      </c>
      <c r="F412" s="49" t="str">
        <f>IF(Salidas[[#This Row],[Artículo (código)]]="","",VLOOKUP(Salidas[[#This Row],[Artículo (código)]],Existencias!A:D,4,FALSE))</f>
        <v>Pollo fresco entero</v>
      </c>
      <c r="G412" s="12">
        <v>8</v>
      </c>
      <c r="H412" s="12" t="e">
        <f>IF(Salidas[[#This Row],[Artículo (código)]]="","",VLOOKUP(Salidas[[#This Row],[Artículo (código)]],Existencias!A:F,7,FALSE))</f>
        <v>#REF!</v>
      </c>
    </row>
    <row r="413" spans="1:8" x14ac:dyDescent="0.3">
      <c r="A413" s="12"/>
      <c r="B413" s="13">
        <v>46087</v>
      </c>
      <c r="C413" s="17"/>
      <c r="D413" s="12" t="e">
        <f>IF(Entradas[[#This Row],[Proveedor (código)]]="","",VLOOKUP(Entradas[[#This Row],[Proveedor (código)]],Proveedores[[#All],[Código]:[Nombre fiscal]],2,FALSE))</f>
        <v>#VALUE!</v>
      </c>
      <c r="E413" s="29" t="s">
        <v>788</v>
      </c>
      <c r="F413" s="49" t="str">
        <f>IF(Salidas[[#This Row],[Artículo (código)]]="","",VLOOKUP(Salidas[[#This Row],[Artículo (código)]],Existencias!A:D,4,FALSE))</f>
        <v>Avena  1 kl</v>
      </c>
      <c r="G413" s="12">
        <v>1</v>
      </c>
      <c r="H413" s="12" t="e">
        <f>IF(Salidas[[#This Row],[Artículo (código)]]="","",VLOOKUP(Salidas[[#This Row],[Artículo (código)]],Existencias!A:F,7,FALSE))</f>
        <v>#REF!</v>
      </c>
    </row>
    <row r="414" spans="1:8" x14ac:dyDescent="0.3">
      <c r="A414" s="12"/>
      <c r="B414" s="13">
        <v>46087</v>
      </c>
      <c r="C414" s="17"/>
      <c r="D414" s="12" t="e">
        <f>IF(Entradas[[#This Row],[Proveedor (código)]]="","",VLOOKUP(Entradas[[#This Row],[Proveedor (código)]],Proveedores[[#All],[Código]:[Nombre fiscal]],2,FALSE))</f>
        <v>#VALUE!</v>
      </c>
      <c r="E414" s="29" t="s">
        <v>989</v>
      </c>
      <c r="F414" s="49" t="str">
        <f>IF(Salidas[[#This Row],[Artículo (código)]]="","",VLOOKUP(Salidas[[#This Row],[Artículo (código)]],Existencias!A:D,4,FALSE))</f>
        <v>Huevo pardo</v>
      </c>
      <c r="G414" s="12">
        <v>27</v>
      </c>
      <c r="H414" s="12" t="e">
        <f>IF(Salidas[[#This Row],[Artículo (código)]]="","",VLOOKUP(Salidas[[#This Row],[Artículo (código)]],Existencias!A:F,7,FALSE))</f>
        <v>#REF!</v>
      </c>
    </row>
    <row r="415" spans="1:8" x14ac:dyDescent="0.3">
      <c r="A415" s="12"/>
      <c r="B415" s="13">
        <v>46087</v>
      </c>
      <c r="C415" s="17"/>
      <c r="D415" s="12" t="e">
        <f>IF(Entradas[[#This Row],[Proveedor (código)]]="","",VLOOKUP(Entradas[[#This Row],[Proveedor (código)]],Proveedores[[#All],[Código]:[Nombre fiscal]],2,FALSE))</f>
        <v>#VALUE!</v>
      </c>
      <c r="E415" s="29" t="s">
        <v>800</v>
      </c>
      <c r="F415" s="49" t="str">
        <f>IF(Salidas[[#This Row],[Artículo (código)]]="","",VLOOKUP(Salidas[[#This Row],[Artículo (código)]],Existencias!A:D,4,FALSE))</f>
        <v xml:space="preserve">Arroz 5 kg </v>
      </c>
      <c r="G415" s="12">
        <v>1</v>
      </c>
      <c r="H415" s="12" t="e">
        <f>IF(Salidas[[#This Row],[Artículo (código)]]="","",VLOOKUP(Salidas[[#This Row],[Artículo (código)]],Existencias!A:F,7,FALSE))</f>
        <v>#REF!</v>
      </c>
    </row>
    <row r="416" spans="1:8" x14ac:dyDescent="0.3">
      <c r="A416" s="12"/>
      <c r="B416" s="13">
        <v>46087</v>
      </c>
      <c r="C416" s="17"/>
      <c r="D416" s="12" t="e">
        <f>IF(Entradas[[#This Row],[Proveedor (código)]]="","",VLOOKUP(Entradas[[#This Row],[Proveedor (código)]],Proveedores[[#All],[Código]:[Nombre fiscal]],2,FALSE))</f>
        <v>#VALUE!</v>
      </c>
      <c r="E416" s="29" t="s">
        <v>755</v>
      </c>
      <c r="F416" s="49" t="str">
        <f>IF(Salidas[[#This Row],[Artículo (código)]]="","",VLOOKUP(Salidas[[#This Row],[Artículo (código)]],Existencias!A:D,4,FALSE))</f>
        <v>Azucar rubia 5 kg</v>
      </c>
      <c r="G416" s="12">
        <v>1</v>
      </c>
      <c r="H416" s="12" t="e">
        <f>IF(Salidas[[#This Row],[Artículo (código)]]="","",VLOOKUP(Salidas[[#This Row],[Artículo (código)]],Existencias!A:F,7,FALSE))</f>
        <v>#REF!</v>
      </c>
    </row>
    <row r="417" spans="1:8" x14ac:dyDescent="0.3">
      <c r="A417" s="12"/>
      <c r="B417" s="13">
        <v>46087</v>
      </c>
      <c r="C417" s="17"/>
      <c r="D417" s="12" t="e">
        <f>IF(Entradas[[#This Row],[Proveedor (código)]]="","",VLOOKUP(Entradas[[#This Row],[Proveedor (código)]],Proveedores[[#All],[Código]:[Nombre fiscal]],2,FALSE))</f>
        <v>#VALUE!</v>
      </c>
      <c r="E417" s="29" t="s">
        <v>694</v>
      </c>
      <c r="F417" s="49" t="str">
        <f>IF(Salidas[[#This Row],[Artículo (código)]]="","",VLOOKUP(Salidas[[#This Row],[Artículo (código)]],Existencias!A:D,4,FALSE))</f>
        <v>Aceite Vegetal 900 ml</v>
      </c>
      <c r="G417" s="12">
        <v>1</v>
      </c>
      <c r="H417" s="12" t="e">
        <f>IF(Salidas[[#This Row],[Artículo (código)]]="","",VLOOKUP(Salidas[[#This Row],[Artículo (código)]],Existencias!A:F,7,FALSE))</f>
        <v>#REF!</v>
      </c>
    </row>
    <row r="418" spans="1:8" x14ac:dyDescent="0.3">
      <c r="A418" s="12"/>
      <c r="B418" s="13">
        <v>46087</v>
      </c>
      <c r="C418" s="17"/>
      <c r="D418" s="12" t="e">
        <f>IF(Entradas[[#This Row],[Proveedor (código)]]="","",VLOOKUP(Entradas[[#This Row],[Proveedor (código)]],Proveedores[[#All],[Código]:[Nombre fiscal]],2,FALSE))</f>
        <v>#VALUE!</v>
      </c>
      <c r="E418" s="29" t="s">
        <v>919</v>
      </c>
      <c r="F418" s="49" t="str">
        <f>IF(Salidas[[#This Row],[Artículo (código)]]="","",VLOOKUP(Salidas[[#This Row],[Artículo (código)]],Existencias!A:D,4,FALSE))</f>
        <v>Fideos cortos 250 gr</v>
      </c>
      <c r="G418" s="12">
        <v>5</v>
      </c>
      <c r="H418" s="12" t="e">
        <f>IF(Salidas[[#This Row],[Artículo (código)]]="","",VLOOKUP(Salidas[[#This Row],[Artículo (código)]],Existencias!A:F,7,FALSE))</f>
        <v>#REF!</v>
      </c>
    </row>
    <row r="419" spans="1:8" x14ac:dyDescent="0.3">
      <c r="A419" s="12"/>
      <c r="B419" s="13">
        <v>46087</v>
      </c>
      <c r="C419" s="17"/>
      <c r="D419" s="12" t="e">
        <f>IF(Entradas[[#This Row],[Proveedor (código)]]="","",VLOOKUP(Entradas[[#This Row],[Proveedor (código)]],Proveedores[[#All],[Código]:[Nombre fiscal]],2,FALSE))</f>
        <v>#VALUE!</v>
      </c>
      <c r="E419" s="29" t="s">
        <v>737</v>
      </c>
      <c r="F419" s="49" t="str">
        <f>IF(Salidas[[#This Row],[Artículo (código)]]="","",VLOOKUP(Salidas[[#This Row],[Artículo (código)]],Existencias!A:D,4,FALSE))</f>
        <v>Pavo de 7 kl</v>
      </c>
      <c r="G419" s="12">
        <v>2</v>
      </c>
      <c r="H419" s="12" t="e">
        <f>IF(Salidas[[#This Row],[Artículo (código)]]="","",VLOOKUP(Salidas[[#This Row],[Artículo (código)]],Existencias!A:F,7,FALSE))</f>
        <v>#REF!</v>
      </c>
    </row>
    <row r="420" spans="1:8" x14ac:dyDescent="0.3">
      <c r="A420" s="12"/>
      <c r="B420" s="13">
        <v>46088</v>
      </c>
      <c r="C420" s="17"/>
      <c r="D420" s="12" t="e">
        <f>IF(Entradas[[#This Row],[Proveedor (código)]]="","",VLOOKUP(Entradas[[#This Row],[Proveedor (código)]],Proveedores[[#All],[Código]:[Nombre fiscal]],2,FALSE))</f>
        <v>#VALUE!</v>
      </c>
      <c r="E420" s="29" t="s">
        <v>788</v>
      </c>
      <c r="F420" s="49" t="str">
        <f>IF(Salidas[[#This Row],[Artículo (código)]]="","",VLOOKUP(Salidas[[#This Row],[Artículo (código)]],Existencias!A:D,4,FALSE))</f>
        <v>Avena  1 kl</v>
      </c>
      <c r="G420" s="12">
        <v>1</v>
      </c>
      <c r="H420" s="12" t="e">
        <f>IF(Salidas[[#This Row],[Artículo (código)]]="","",VLOOKUP(Salidas[[#This Row],[Artículo (código)]],Existencias!A:F,7,FALSE))</f>
        <v>#REF!</v>
      </c>
    </row>
    <row r="421" spans="1:8" x14ac:dyDescent="0.3">
      <c r="A421" s="12"/>
      <c r="B421" s="13">
        <v>46088</v>
      </c>
      <c r="C421" s="17"/>
      <c r="D421" s="12" t="e">
        <f>IF(Entradas[[#This Row],[Proveedor (código)]]="","",VLOOKUP(Entradas[[#This Row],[Proveedor (código)]],Proveedores[[#All],[Código]:[Nombre fiscal]],2,FALSE))</f>
        <v>#VALUE!</v>
      </c>
      <c r="E421" s="29" t="s">
        <v>723</v>
      </c>
      <c r="F421" s="49" t="str">
        <f>IF(Salidas[[#This Row],[Artículo (código)]]="","",VLOOKUP(Salidas[[#This Row],[Artículo (código)]],Existencias!A:D,4,FALSE))</f>
        <v>Pollo fresco entero</v>
      </c>
      <c r="G421" s="12">
        <v>3</v>
      </c>
      <c r="H421" s="12" t="e">
        <f>IF(Salidas[[#This Row],[Artículo (código)]]="","",VLOOKUP(Salidas[[#This Row],[Artículo (código)]],Existencias!A:F,7,FALSE))</f>
        <v>#REF!</v>
      </c>
    </row>
    <row r="422" spans="1:8" x14ac:dyDescent="0.3">
      <c r="A422" s="12"/>
      <c r="B422" s="13">
        <v>46088</v>
      </c>
      <c r="C422" s="17"/>
      <c r="D422" s="12" t="e">
        <f>IF(Entradas[[#This Row],[Proveedor (código)]]="","",VLOOKUP(Entradas[[#This Row],[Proveedor (código)]],Proveedores[[#All],[Código]:[Nombre fiscal]],2,FALSE))</f>
        <v>#VALUE!</v>
      </c>
      <c r="E422" s="29" t="s">
        <v>800</v>
      </c>
      <c r="F422" s="49" t="str">
        <f>IF(Salidas[[#This Row],[Artículo (código)]]="","",VLOOKUP(Salidas[[#This Row],[Artículo (código)]],Existencias!A:D,4,FALSE))</f>
        <v xml:space="preserve">Arroz 5 kg </v>
      </c>
      <c r="G422" s="12">
        <v>1</v>
      </c>
      <c r="H422" s="12" t="e">
        <f>IF(Salidas[[#This Row],[Artículo (código)]]="","",VLOOKUP(Salidas[[#This Row],[Artículo (código)]],Existencias!A:F,7,FALSE))</f>
        <v>#REF!</v>
      </c>
    </row>
    <row r="423" spans="1:8" x14ac:dyDescent="0.3">
      <c r="A423" s="12"/>
      <c r="B423" s="13">
        <v>46088</v>
      </c>
      <c r="C423" s="17"/>
      <c r="D423" s="12" t="e">
        <f>IF(Entradas[[#This Row],[Proveedor (código)]]="","",VLOOKUP(Entradas[[#This Row],[Proveedor (código)]],Proveedores[[#All],[Código]:[Nombre fiscal]],2,FALSE))</f>
        <v>#VALUE!</v>
      </c>
      <c r="E423" s="29" t="s">
        <v>916</v>
      </c>
      <c r="F423" s="49" t="str">
        <f>IF(Salidas[[#This Row],[Artículo (código)]]="","",VLOOKUP(Salidas[[#This Row],[Artículo (código)]],Existencias!A:D,4,FALSE))</f>
        <v>Fideos largos 500 gr</v>
      </c>
      <c r="G423" s="12">
        <v>1</v>
      </c>
      <c r="H423" s="12" t="e">
        <f>IF(Salidas[[#This Row],[Artículo (código)]]="","",VLOOKUP(Salidas[[#This Row],[Artículo (código)]],Existencias!A:F,7,FALSE))</f>
        <v>#REF!</v>
      </c>
    </row>
    <row r="424" spans="1:8" x14ac:dyDescent="0.3">
      <c r="A424" s="12"/>
      <c r="B424" s="13">
        <v>46088</v>
      </c>
      <c r="C424" s="17"/>
      <c r="D424" s="12" t="e">
        <f>IF(Entradas[[#This Row],[Proveedor (código)]]="","",VLOOKUP(Entradas[[#This Row],[Proveedor (código)]],Proveedores[[#All],[Código]:[Nombre fiscal]],2,FALSE))</f>
        <v>#VALUE!</v>
      </c>
      <c r="E424" s="29" t="s">
        <v>847</v>
      </c>
      <c r="F424" s="49" t="str">
        <f>IF(Salidas[[#This Row],[Artículo (código)]]="","",VLOOKUP(Salidas[[#This Row],[Artículo (código)]],Existencias!A:D,4,FALSE))</f>
        <v>Salsa de tomate 290 gr</v>
      </c>
      <c r="G424" s="12">
        <v>1</v>
      </c>
      <c r="H424" s="12" t="e">
        <f>IF(Salidas[[#This Row],[Artículo (código)]]="","",VLOOKUP(Salidas[[#This Row],[Artículo (código)]],Existencias!A:F,7,FALSE))</f>
        <v>#REF!</v>
      </c>
    </row>
    <row r="425" spans="1:8" x14ac:dyDescent="0.3">
      <c r="A425" s="12"/>
      <c r="B425" s="13">
        <v>46088</v>
      </c>
      <c r="C425" s="17"/>
      <c r="D425" s="12" t="e">
        <f>IF(Entradas[[#This Row],[Proveedor (código)]]="","",VLOOKUP(Entradas[[#This Row],[Proveedor (código)]],Proveedores[[#All],[Código]:[Nombre fiscal]],2,FALSE))</f>
        <v>#VALUE!</v>
      </c>
      <c r="E425" s="29" t="s">
        <v>694</v>
      </c>
      <c r="F425" s="49" t="str">
        <f>IF(Salidas[[#This Row],[Artículo (código)]]="","",VLOOKUP(Salidas[[#This Row],[Artículo (código)]],Existencias!A:D,4,FALSE))</f>
        <v>Aceite Vegetal 900 ml</v>
      </c>
      <c r="G425" s="12">
        <v>1</v>
      </c>
      <c r="H425" s="12" t="e">
        <f>IF(Salidas[[#This Row],[Artículo (código)]]="","",VLOOKUP(Salidas[[#This Row],[Artículo (código)]],Existencias!A:F,7,FALSE))</f>
        <v>#REF!</v>
      </c>
    </row>
    <row r="426" spans="1:8" x14ac:dyDescent="0.3">
      <c r="A426" s="12"/>
      <c r="B426" s="13">
        <v>46089</v>
      </c>
      <c r="C426" s="17"/>
      <c r="D426" s="12" t="e">
        <f>IF(Entradas[[#This Row],[Proveedor (código)]]="","",VLOOKUP(Entradas[[#This Row],[Proveedor (código)]],Proveedores[[#All],[Código]:[Nombre fiscal]],2,FALSE))</f>
        <v>#VALUE!</v>
      </c>
      <c r="E426" s="29" t="s">
        <v>788</v>
      </c>
      <c r="F426" s="49" t="str">
        <f>IF(Salidas[[#This Row],[Artículo (código)]]="","",VLOOKUP(Salidas[[#This Row],[Artículo (código)]],Existencias!A:D,4,FALSE))</f>
        <v>Avena  1 kl</v>
      </c>
      <c r="G426" s="12">
        <v>1</v>
      </c>
      <c r="H426" s="12" t="e">
        <f>IF(Salidas[[#This Row],[Artículo (código)]]="","",VLOOKUP(Salidas[[#This Row],[Artículo (código)]],Existencias!A:F,7,FALSE))</f>
        <v>#REF!</v>
      </c>
    </row>
    <row r="427" spans="1:8" x14ac:dyDescent="0.3">
      <c r="A427" s="12"/>
      <c r="B427" s="13">
        <v>46089</v>
      </c>
      <c r="C427" s="17"/>
      <c r="D427" s="12" t="e">
        <f>IF(Entradas[[#This Row],[Proveedor (código)]]="","",VLOOKUP(Entradas[[#This Row],[Proveedor (código)]],Proveedores[[#All],[Código]:[Nombre fiscal]],2,FALSE))</f>
        <v>#VALUE!</v>
      </c>
      <c r="E427" s="29" t="s">
        <v>989</v>
      </c>
      <c r="F427" s="49" t="str">
        <f>IF(Salidas[[#This Row],[Artículo (código)]]="","",VLOOKUP(Salidas[[#This Row],[Artículo (código)]],Existencias!A:D,4,FALSE))</f>
        <v>Huevo pardo</v>
      </c>
      <c r="G427" s="12">
        <v>30</v>
      </c>
      <c r="H427" s="12" t="e">
        <f>IF(Salidas[[#This Row],[Artículo (código)]]="","",VLOOKUP(Salidas[[#This Row],[Artículo (código)]],Existencias!A:F,7,FALSE))</f>
        <v>#REF!</v>
      </c>
    </row>
    <row r="428" spans="1:8" x14ac:dyDescent="0.3">
      <c r="A428" s="12"/>
      <c r="B428" s="13">
        <v>46089</v>
      </c>
      <c r="C428" s="17"/>
      <c r="D428" s="12" t="e">
        <f>IF(Entradas[[#This Row],[Proveedor (código)]]="","",VLOOKUP(Entradas[[#This Row],[Proveedor (código)]],Proveedores[[#All],[Código]:[Nombre fiscal]],2,FALSE))</f>
        <v>#VALUE!</v>
      </c>
      <c r="E428" s="29" t="s">
        <v>916</v>
      </c>
      <c r="F428" s="49" t="str">
        <f>IF(Salidas[[#This Row],[Artículo (código)]]="","",VLOOKUP(Salidas[[#This Row],[Artículo (código)]],Existencias!A:D,4,FALSE))</f>
        <v>Fideos largos 500 gr</v>
      </c>
      <c r="G428" s="12">
        <v>4</v>
      </c>
      <c r="H428" s="12" t="e">
        <f>IF(Salidas[[#This Row],[Artículo (código)]]="","",VLOOKUP(Salidas[[#This Row],[Artículo (código)]],Existencias!A:F,7,FALSE))</f>
        <v>#REF!</v>
      </c>
    </row>
    <row r="429" spans="1:8" x14ac:dyDescent="0.3">
      <c r="A429" s="12"/>
      <c r="B429" s="13">
        <v>46089</v>
      </c>
      <c r="C429" s="17"/>
      <c r="D429" s="12" t="e">
        <f>IF(Entradas[[#This Row],[Proveedor (código)]]="","",VLOOKUP(Entradas[[#This Row],[Proveedor (código)]],Proveedores[[#All],[Código]:[Nombre fiscal]],2,FALSE))</f>
        <v>#VALUE!</v>
      </c>
      <c r="E429" s="29" t="s">
        <v>887</v>
      </c>
      <c r="F429" s="49" t="str">
        <f>IF(Salidas[[#This Row],[Artículo (código)]]="","",VLOOKUP(Salidas[[#This Row],[Artículo (código)]],Existencias!A:D,4,FALSE))</f>
        <v>Trozo de atun aceite lata</v>
      </c>
      <c r="G429" s="12">
        <v>12</v>
      </c>
      <c r="H429" s="12" t="e">
        <f>IF(Salidas[[#This Row],[Artículo (código)]]="","",VLOOKUP(Salidas[[#This Row],[Artículo (código)]],Existencias!A:F,7,FALSE))</f>
        <v>#REF!</v>
      </c>
    </row>
    <row r="430" spans="1:8" x14ac:dyDescent="0.3">
      <c r="A430" s="12"/>
      <c r="B430" s="13">
        <v>46089</v>
      </c>
      <c r="C430" s="17"/>
      <c r="D430" s="12" t="e">
        <f>IF(Entradas[[#This Row],[Proveedor (código)]]="","",VLOOKUP(Entradas[[#This Row],[Proveedor (código)]],Proveedores[[#All],[Código]:[Nombre fiscal]],2,FALSE))</f>
        <v>#VALUE!</v>
      </c>
      <c r="E430" s="29" t="s">
        <v>709</v>
      </c>
      <c r="F430" s="49" t="str">
        <f>IF(Salidas[[#This Row],[Artículo (código)]]="","",VLOOKUP(Salidas[[#This Row],[Artículo (código)]],Existencias!A:D,4,FALSE))</f>
        <v>Sal Mesa 1kg</v>
      </c>
      <c r="G430" s="12">
        <v>1</v>
      </c>
      <c r="H430" s="12" t="e">
        <f>IF(Salidas[[#This Row],[Artículo (código)]]="","",VLOOKUP(Salidas[[#This Row],[Artículo (código)]],Existencias!A:F,7,FALSE))</f>
        <v>#REF!</v>
      </c>
    </row>
    <row r="431" spans="1:8" x14ac:dyDescent="0.3">
      <c r="A431" s="12"/>
      <c r="B431" s="13">
        <v>46089</v>
      </c>
      <c r="C431" s="17"/>
      <c r="D431" s="12" t="e">
        <f>IF(Entradas[[#This Row],[Proveedor (código)]]="","",VLOOKUP(Entradas[[#This Row],[Proveedor (código)]],Proveedores[[#All],[Código]:[Nombre fiscal]],2,FALSE))</f>
        <v>#VALUE!</v>
      </c>
      <c r="E431" s="29" t="s">
        <v>949</v>
      </c>
      <c r="F431" s="49" t="str">
        <f>IF(Salidas[[#This Row],[Artículo (código)]]="","",VLOOKUP(Salidas[[#This Row],[Artículo (código)]],Existencias!A:D,4,FALSE))</f>
        <v>GELATINA 160 gr</v>
      </c>
      <c r="G431" s="12">
        <v>3</v>
      </c>
      <c r="H431" s="12" t="e">
        <f>IF(Salidas[[#This Row],[Artículo (código)]]="","",VLOOKUP(Salidas[[#This Row],[Artículo (código)]],Existencias!A:F,7,FALSE))</f>
        <v>#REF!</v>
      </c>
    </row>
    <row r="432" spans="1:8" x14ac:dyDescent="0.3">
      <c r="A432" s="12"/>
      <c r="B432" s="13">
        <v>46090</v>
      </c>
      <c r="C432" s="17"/>
      <c r="D432" s="12" t="e">
        <f>IF(Entradas[[#This Row],[Proveedor (código)]]="","",VLOOKUP(Entradas[[#This Row],[Proveedor (código)]],Proveedores[[#All],[Código]:[Nombre fiscal]],2,FALSE))</f>
        <v>#VALUE!</v>
      </c>
      <c r="E432" s="29" t="s">
        <v>788</v>
      </c>
      <c r="F432" s="49" t="str">
        <f>IF(Salidas[[#This Row],[Artículo (código)]]="","",VLOOKUP(Salidas[[#This Row],[Artículo (código)]],Existencias!A:D,4,FALSE))</f>
        <v>Avena  1 kl</v>
      </c>
      <c r="G432" s="12">
        <v>1</v>
      </c>
      <c r="H432" s="12" t="e">
        <f>IF(Salidas[[#This Row],[Artículo (código)]]="","",VLOOKUP(Salidas[[#This Row],[Artículo (código)]],Existencias!A:F,7,FALSE))</f>
        <v>#REF!</v>
      </c>
    </row>
    <row r="433" spans="1:8" x14ac:dyDescent="0.3">
      <c r="A433" s="12"/>
      <c r="B433" s="13">
        <v>46090</v>
      </c>
      <c r="C433" s="17"/>
      <c r="D433" s="12" t="e">
        <f>IF(Entradas[[#This Row],[Proveedor (código)]]="","",VLOOKUP(Entradas[[#This Row],[Proveedor (código)]],Proveedores[[#All],[Código]:[Nombre fiscal]],2,FALSE))</f>
        <v>#VALUE!</v>
      </c>
      <c r="E433" s="29" t="s">
        <v>989</v>
      </c>
      <c r="F433" s="49" t="str">
        <f>IF(Salidas[[#This Row],[Artículo (código)]]="","",VLOOKUP(Salidas[[#This Row],[Artículo (código)]],Existencias!A:D,4,FALSE))</f>
        <v>Huevo pardo</v>
      </c>
      <c r="G433" s="12">
        <v>26</v>
      </c>
      <c r="H433" s="12" t="e">
        <f>IF(Salidas[[#This Row],[Artículo (código)]]="","",VLOOKUP(Salidas[[#This Row],[Artículo (código)]],Existencias!A:F,7,FALSE))</f>
        <v>#REF!</v>
      </c>
    </row>
    <row r="434" spans="1:8" x14ac:dyDescent="0.3">
      <c r="A434" s="12"/>
      <c r="B434" s="13">
        <v>46090</v>
      </c>
      <c r="C434" s="17"/>
      <c r="D434" s="12" t="e">
        <f>IF(Entradas[[#This Row],[Proveedor (código)]]="","",VLOOKUP(Entradas[[#This Row],[Proveedor (código)]],Proveedores[[#All],[Código]:[Nombre fiscal]],2,FALSE))</f>
        <v>#VALUE!</v>
      </c>
      <c r="E434" s="29" t="s">
        <v>800</v>
      </c>
      <c r="F434" s="49" t="str">
        <f>IF(Salidas[[#This Row],[Artículo (código)]]="","",VLOOKUP(Salidas[[#This Row],[Artículo (código)]],Existencias!A:D,4,FALSE))</f>
        <v xml:space="preserve">Arroz 5 kg </v>
      </c>
      <c r="G434" s="12">
        <v>1</v>
      </c>
      <c r="H434" s="12" t="e">
        <f>IF(Salidas[[#This Row],[Artículo (código)]]="","",VLOOKUP(Salidas[[#This Row],[Artículo (código)]],Existencias!A:F,7,FALSE))</f>
        <v>#REF!</v>
      </c>
    </row>
    <row r="435" spans="1:8" x14ac:dyDescent="0.3">
      <c r="A435" s="12"/>
      <c r="B435" s="13">
        <v>46090</v>
      </c>
      <c r="C435" s="17"/>
      <c r="D435" s="12" t="e">
        <f>IF(Entradas[[#This Row],[Proveedor (código)]]="","",VLOOKUP(Entradas[[#This Row],[Proveedor (código)]],Proveedores[[#All],[Código]:[Nombre fiscal]],2,FALSE))</f>
        <v>#VALUE!</v>
      </c>
      <c r="E435" s="29" t="s">
        <v>694</v>
      </c>
      <c r="F435" s="49" t="str">
        <f>IF(Salidas[[#This Row],[Artículo (código)]]="","",VLOOKUP(Salidas[[#This Row],[Artículo (código)]],Existencias!A:D,4,FALSE))</f>
        <v>Aceite Vegetal 900 ml</v>
      </c>
      <c r="G435" s="12">
        <v>1</v>
      </c>
      <c r="H435" s="12" t="e">
        <f>IF(Salidas[[#This Row],[Artículo (código)]]="","",VLOOKUP(Salidas[[#This Row],[Artículo (código)]],Existencias!A:F,7,FALSE))</f>
        <v>#REF!</v>
      </c>
    </row>
    <row r="436" spans="1:8" x14ac:dyDescent="0.3">
      <c r="A436" s="12"/>
      <c r="B436" s="13">
        <v>46090</v>
      </c>
      <c r="C436" s="17"/>
      <c r="D436" s="12" t="e">
        <f>IF(Entradas[[#This Row],[Proveedor (código)]]="","",VLOOKUP(Entradas[[#This Row],[Proveedor (código)]],Proveedores[[#All],[Código]:[Nombre fiscal]],2,FALSE))</f>
        <v>#VALUE!</v>
      </c>
      <c r="E436" s="29" t="s">
        <v>923</v>
      </c>
      <c r="F436" s="49" t="e">
        <f>IF(Salidas[[#This Row],[Artículo (código)]]="","",VLOOKUP(Salidas[[#This Row],[Artículo (código)]],Existencias!A:D,4,FALSE))</f>
        <v>#N/A</v>
      </c>
      <c r="G436" s="12">
        <v>2</v>
      </c>
      <c r="H436" s="12" t="e">
        <f>IF(Salidas[[#This Row],[Artículo (código)]]="","",VLOOKUP(Salidas[[#This Row],[Artículo (código)]],Existencias!A:F,7,FALSE))</f>
        <v>#N/A</v>
      </c>
    </row>
    <row r="437" spans="1:8" x14ac:dyDescent="0.3">
      <c r="A437" s="12"/>
      <c r="B437" s="13">
        <v>46090</v>
      </c>
      <c r="C437" s="17"/>
      <c r="D437" s="12" t="e">
        <f>IF(Entradas[[#This Row],[Proveedor (código)]]="","",VLOOKUP(Entradas[[#This Row],[Proveedor (código)]],Proveedores[[#All],[Código]:[Nombre fiscal]],2,FALSE))</f>
        <v>#VALUE!</v>
      </c>
      <c r="E437" s="29" t="s">
        <v>879</v>
      </c>
      <c r="F437" s="49" t="str">
        <f>IF(Salidas[[#This Row],[Artículo (código)]]="","",VLOOKUP(Salidas[[#This Row],[Artículo (código)]],Existencias!A:D,4,FALSE))</f>
        <v>Curcuma 500</v>
      </c>
      <c r="G437" s="12">
        <v>1</v>
      </c>
      <c r="H437" s="12" t="e">
        <f>IF(Salidas[[#This Row],[Artículo (código)]]="","",VLOOKUP(Salidas[[#This Row],[Artículo (código)]],Existencias!A:F,7,FALSE))</f>
        <v>#REF!</v>
      </c>
    </row>
    <row r="438" spans="1:8" x14ac:dyDescent="0.3">
      <c r="A438" s="12"/>
      <c r="B438" s="13">
        <v>46090</v>
      </c>
      <c r="C438" s="17"/>
      <c r="D438" s="12" t="e">
        <f>IF(Entradas[[#This Row],[Proveedor (código)]]="","",VLOOKUP(Entradas[[#This Row],[Proveedor (código)]],Proveedores[[#All],[Código]:[Nombre fiscal]],2,FALSE))</f>
        <v>#VALUE!</v>
      </c>
      <c r="E438" s="29" t="s">
        <v>1270</v>
      </c>
      <c r="F438" s="29" t="s">
        <v>1391</v>
      </c>
      <c r="G438" s="12">
        <v>8</v>
      </c>
      <c r="H438" s="12" t="e">
        <f>IF(Salidas[[#This Row],[Artículo (código)]]="","",VLOOKUP(Salidas[[#This Row],[Artículo (código)]],Existencias!A:F,7,FALSE))</f>
        <v>#REF!</v>
      </c>
    </row>
    <row r="439" spans="1:8" x14ac:dyDescent="0.3">
      <c r="A439" s="12"/>
      <c r="B439" s="13">
        <v>46090</v>
      </c>
      <c r="C439" s="17"/>
      <c r="D439" s="12" t="e">
        <f>IF(Entradas[[#This Row],[Proveedor (código)]]="","",VLOOKUP(Entradas[[#This Row],[Proveedor (código)]],Proveedores[[#All],[Código]:[Nombre fiscal]],2,FALSE))</f>
        <v>#VALUE!</v>
      </c>
      <c r="E439" s="29" t="s">
        <v>723</v>
      </c>
      <c r="F439" s="49" t="str">
        <f>IF(Salidas[[#This Row],[Artículo (código)]]="","",VLOOKUP(Salidas[[#This Row],[Artículo (código)]],Existencias!A:D,4,FALSE))</f>
        <v>Pollo fresco entero</v>
      </c>
      <c r="G439" s="12">
        <v>2</v>
      </c>
      <c r="H439" s="12" t="e">
        <f>IF(Salidas[[#This Row],[Artículo (código)]]="","",VLOOKUP(Salidas[[#This Row],[Artículo (código)]],Existencias!A:F,7,FALSE))</f>
        <v>#REF!</v>
      </c>
    </row>
    <row r="440" spans="1:8" x14ac:dyDescent="0.3">
      <c r="A440" s="12"/>
      <c r="B440" s="13">
        <v>46091</v>
      </c>
      <c r="C440" s="17"/>
      <c r="D440" s="12" t="e">
        <f>IF(Entradas[[#This Row],[Proveedor (código)]]="","",VLOOKUP(Entradas[[#This Row],[Proveedor (código)]],Proveedores[[#All],[Código]:[Nombre fiscal]],2,FALSE))</f>
        <v>#VALUE!</v>
      </c>
      <c r="E440" s="29" t="s">
        <v>989</v>
      </c>
      <c r="F440" s="49" t="str">
        <f>IF(Salidas[[#This Row],[Artículo (código)]]="","",VLOOKUP(Salidas[[#This Row],[Artículo (código)]],Existencias!A:D,4,FALSE))</f>
        <v>Huevo pardo</v>
      </c>
      <c r="G440" s="12">
        <v>18</v>
      </c>
      <c r="H440" s="12" t="e">
        <f>IF(Salidas[[#This Row],[Artículo (código)]]="","",VLOOKUP(Salidas[[#This Row],[Artículo (código)]],Existencias!A:F,7,FALSE))</f>
        <v>#REF!</v>
      </c>
    </row>
    <row r="441" spans="1:8" x14ac:dyDescent="0.3">
      <c r="A441" s="12"/>
      <c r="B441" s="13">
        <v>46091</v>
      </c>
      <c r="C441" s="17"/>
      <c r="D441" s="12" t="e">
        <f>IF(Entradas[[#This Row],[Proveedor (código)]]="","",VLOOKUP(Entradas[[#This Row],[Proveedor (código)]],Proveedores[[#All],[Código]:[Nombre fiscal]],2,FALSE))</f>
        <v>#VALUE!</v>
      </c>
      <c r="E441" s="29" t="s">
        <v>799</v>
      </c>
      <c r="F441" s="49" t="str">
        <f>IF(Salidas[[#This Row],[Artículo (código)]]="","",VLOOKUP(Salidas[[#This Row],[Artículo (código)]],Existencias!A:D,4,FALSE))</f>
        <v>Arroz 1 kg</v>
      </c>
      <c r="G441" s="12">
        <v>4</v>
      </c>
      <c r="H441" s="12" t="e">
        <f>IF(Salidas[[#This Row],[Artículo (código)]]="","",VLOOKUP(Salidas[[#This Row],[Artículo (código)]],Existencias!A:F,7,FALSE))</f>
        <v>#REF!</v>
      </c>
    </row>
    <row r="442" spans="1:8" x14ac:dyDescent="0.3">
      <c r="A442" s="12"/>
      <c r="B442" s="13">
        <v>46091</v>
      </c>
      <c r="C442" s="17"/>
      <c r="D442" s="12" t="e">
        <f>IF(Entradas[[#This Row],[Proveedor (código)]]="","",VLOOKUP(Entradas[[#This Row],[Proveedor (código)]],Proveedores[[#All],[Código]:[Nombre fiscal]],2,FALSE))</f>
        <v>#VALUE!</v>
      </c>
      <c r="E442" s="29" t="s">
        <v>694</v>
      </c>
      <c r="F442" s="49" t="str">
        <f>IF(Salidas[[#This Row],[Artículo (código)]]="","",VLOOKUP(Salidas[[#This Row],[Artículo (código)]],Existencias!A:D,4,FALSE))</f>
        <v>Aceite Vegetal 900 ml</v>
      </c>
      <c r="G442" s="12">
        <v>1</v>
      </c>
      <c r="H442" s="12" t="e">
        <f>IF(Salidas[[#This Row],[Artículo (código)]]="","",VLOOKUP(Salidas[[#This Row],[Artículo (código)]],Existencias!A:F,7,FALSE))</f>
        <v>#REF!</v>
      </c>
    </row>
    <row r="443" spans="1:8" x14ac:dyDescent="0.3">
      <c r="A443" s="12"/>
      <c r="B443" s="13">
        <v>46091</v>
      </c>
      <c r="C443" s="17"/>
      <c r="D443" s="12" t="e">
        <f>IF(Entradas[[#This Row],[Proveedor (código)]]="","",VLOOKUP(Entradas[[#This Row],[Proveedor (código)]],Proveedores[[#All],[Código]:[Nombre fiscal]],2,FALSE))</f>
        <v>#VALUE!</v>
      </c>
      <c r="E443" s="29" t="s">
        <v>723</v>
      </c>
      <c r="F443" s="49" t="str">
        <f>IF(Salidas[[#This Row],[Artículo (código)]]="","",VLOOKUP(Salidas[[#This Row],[Artículo (código)]],Existencias!A:D,4,FALSE))</f>
        <v>Pollo fresco entero</v>
      </c>
      <c r="G443" s="12">
        <v>1</v>
      </c>
      <c r="H443" s="12" t="e">
        <f>IF(Salidas[[#This Row],[Artículo (código)]]="","",VLOOKUP(Salidas[[#This Row],[Artículo (código)]],Existencias!A:F,7,FALSE))</f>
        <v>#REF!</v>
      </c>
    </row>
    <row r="444" spans="1:8" x14ac:dyDescent="0.3">
      <c r="A444" s="12"/>
      <c r="B444" s="13">
        <v>46091</v>
      </c>
      <c r="C444" s="17"/>
      <c r="D444" s="12" t="e">
        <f>IF(Entradas[[#This Row],[Proveedor (código)]]="","",VLOOKUP(Entradas[[#This Row],[Proveedor (código)]],Proveedores[[#All],[Código]:[Nombre fiscal]],2,FALSE))</f>
        <v>#VALUE!</v>
      </c>
      <c r="E444" s="29" t="s">
        <v>1242</v>
      </c>
      <c r="F444" s="49" t="str">
        <f>IF(Salidas[[#This Row],[Artículo (código)]]="","",VLOOKUP(Salidas[[#This Row],[Artículo (código)]],Existencias!A:D,4,FALSE))</f>
        <v>Trigo 1 kg</v>
      </c>
      <c r="G444" s="12">
        <v>3</v>
      </c>
      <c r="H444" s="12" t="e">
        <f>IF(Salidas[[#This Row],[Artículo (código)]]="","",VLOOKUP(Salidas[[#This Row],[Artículo (código)]],Existencias!A:F,7,FALSE))</f>
        <v>#REF!</v>
      </c>
    </row>
    <row r="445" spans="1:8" x14ac:dyDescent="0.3">
      <c r="A445" s="12"/>
      <c r="B445" s="13">
        <v>46092</v>
      </c>
      <c r="C445" s="17"/>
      <c r="D445" s="12" t="e">
        <f>IF(Entradas[[#This Row],[Proveedor (código)]]="","",VLOOKUP(Entradas[[#This Row],[Proveedor (código)]],Proveedores[[#All],[Código]:[Nombre fiscal]],2,FALSE))</f>
        <v>#VALUE!</v>
      </c>
      <c r="E445" s="29" t="s">
        <v>788</v>
      </c>
      <c r="F445" s="49" t="str">
        <f>IF(Salidas[[#This Row],[Artículo (código)]]="","",VLOOKUP(Salidas[[#This Row],[Artículo (código)]],Existencias!A:D,4,FALSE))</f>
        <v>Avena  1 kl</v>
      </c>
      <c r="G445" s="12">
        <v>1</v>
      </c>
      <c r="H445" s="12" t="e">
        <f>IF(Salidas[[#This Row],[Artículo (código)]]="","",VLOOKUP(Salidas[[#This Row],[Artículo (código)]],Existencias!A:F,7,FALSE))</f>
        <v>#REF!</v>
      </c>
    </row>
    <row r="446" spans="1:8" x14ac:dyDescent="0.3">
      <c r="A446" s="12"/>
      <c r="B446" s="13">
        <v>46092</v>
      </c>
      <c r="C446" s="17"/>
      <c r="D446" s="12" t="e">
        <f>IF(Entradas[[#This Row],[Proveedor (código)]]="","",VLOOKUP(Entradas[[#This Row],[Proveedor (código)]],Proveedores[[#All],[Código]:[Nombre fiscal]],2,FALSE))</f>
        <v>#VALUE!</v>
      </c>
      <c r="E446" s="29" t="s">
        <v>989</v>
      </c>
      <c r="F446" s="49" t="str">
        <f>IF(Salidas[[#This Row],[Artículo (código)]]="","",VLOOKUP(Salidas[[#This Row],[Artículo (código)]],Existencias!A:D,4,FALSE))</f>
        <v>Huevo pardo</v>
      </c>
      <c r="G446" s="12">
        <v>6</v>
      </c>
      <c r="H446" s="12" t="e">
        <f>IF(Salidas[[#This Row],[Artículo (código)]]="","",VLOOKUP(Salidas[[#This Row],[Artículo (código)]],Existencias!A:F,7,FALSE))</f>
        <v>#REF!</v>
      </c>
    </row>
    <row r="447" spans="1:8" x14ac:dyDescent="0.3">
      <c r="A447" s="12"/>
      <c r="B447" s="13">
        <v>46092</v>
      </c>
      <c r="C447" s="17"/>
      <c r="D447" s="12" t="e">
        <f>IF(Entradas[[#This Row],[Proveedor (código)]]="","",VLOOKUP(Entradas[[#This Row],[Proveedor (código)]],Proveedores[[#All],[Código]:[Nombre fiscal]],2,FALSE))</f>
        <v>#VALUE!</v>
      </c>
      <c r="E447" s="29" t="s">
        <v>800</v>
      </c>
      <c r="F447" s="49" t="str">
        <f>IF(Salidas[[#This Row],[Artículo (código)]]="","",VLOOKUP(Salidas[[#This Row],[Artículo (código)]],Existencias!A:D,4,FALSE))</f>
        <v xml:space="preserve">Arroz 5 kg </v>
      </c>
      <c r="G447" s="12">
        <v>1</v>
      </c>
      <c r="H447" s="12" t="e">
        <f>IF(Salidas[[#This Row],[Artículo (código)]]="","",VLOOKUP(Salidas[[#This Row],[Artículo (código)]],Existencias!A:F,7,FALSE))</f>
        <v>#REF!</v>
      </c>
    </row>
    <row r="448" spans="1:8" x14ac:dyDescent="0.3">
      <c r="A448" s="12"/>
      <c r="B448" s="13">
        <v>46092</v>
      </c>
      <c r="C448" s="17"/>
      <c r="D448" s="12" t="e">
        <f>IF(Entradas[[#This Row],[Proveedor (código)]]="","",VLOOKUP(Entradas[[#This Row],[Proveedor (código)]],Proveedores[[#All],[Código]:[Nombre fiscal]],2,FALSE))</f>
        <v>#VALUE!</v>
      </c>
      <c r="E448" s="29" t="s">
        <v>755</v>
      </c>
      <c r="F448" s="49" t="str">
        <f>IF(Salidas[[#This Row],[Artículo (código)]]="","",VLOOKUP(Salidas[[#This Row],[Artículo (código)]],Existencias!A:D,4,FALSE))</f>
        <v>Azucar rubia 5 kg</v>
      </c>
      <c r="G448" s="12">
        <v>1</v>
      </c>
      <c r="H448" s="12" t="e">
        <f>IF(Salidas[[#This Row],[Artículo (código)]]="","",VLOOKUP(Salidas[[#This Row],[Artículo (código)]],Existencias!A:F,7,FALSE))</f>
        <v>#REF!</v>
      </c>
    </row>
    <row r="449" spans="1:8" x14ac:dyDescent="0.3">
      <c r="A449" s="12"/>
      <c r="B449" s="13">
        <v>46092</v>
      </c>
      <c r="C449" s="17"/>
      <c r="D449" s="12" t="e">
        <f>IF(Entradas[[#This Row],[Proveedor (código)]]="","",VLOOKUP(Entradas[[#This Row],[Proveedor (código)]],Proveedores[[#All],[Código]:[Nombre fiscal]],2,FALSE))</f>
        <v>#VALUE!</v>
      </c>
      <c r="E449" s="29" t="s">
        <v>723</v>
      </c>
      <c r="F449" s="49" t="str">
        <f>IF(Salidas[[#This Row],[Artículo (código)]]="","",VLOOKUP(Salidas[[#This Row],[Artículo (código)]],Existencias!A:D,4,FALSE))</f>
        <v>Pollo fresco entero</v>
      </c>
      <c r="G449" s="12">
        <v>9</v>
      </c>
      <c r="H449" s="12" t="e">
        <f>IF(Salidas[[#This Row],[Artículo (código)]]="","",VLOOKUP(Salidas[[#This Row],[Artículo (código)]],Existencias!A:F,7,FALSE))</f>
        <v>#REF!</v>
      </c>
    </row>
    <row r="450" spans="1:8" x14ac:dyDescent="0.3">
      <c r="A450" s="12"/>
      <c r="B450" s="13">
        <v>46092</v>
      </c>
      <c r="C450" s="17"/>
      <c r="D450" s="12" t="e">
        <f>IF(Entradas[[#This Row],[Proveedor (código)]]="","",VLOOKUP(Entradas[[#This Row],[Proveedor (código)]],Proveedores[[#All],[Código]:[Nombre fiscal]],2,FALSE))</f>
        <v>#VALUE!</v>
      </c>
      <c r="E450" s="29" t="s">
        <v>916</v>
      </c>
      <c r="F450" s="49" t="str">
        <f>IF(Salidas[[#This Row],[Artículo (código)]]="","",VLOOKUP(Salidas[[#This Row],[Artículo (código)]],Existencias!A:D,4,FALSE))</f>
        <v>Fideos largos 500 gr</v>
      </c>
      <c r="G450" s="12">
        <v>3</v>
      </c>
      <c r="H450" s="12" t="e">
        <f>IF(Salidas[[#This Row],[Artículo (código)]]="","",VLOOKUP(Salidas[[#This Row],[Artículo (código)]],Existencias!A:F,7,FALSE))</f>
        <v>#REF!</v>
      </c>
    </row>
    <row r="451" spans="1:8" x14ac:dyDescent="0.3">
      <c r="A451" s="12"/>
      <c r="B451" s="13">
        <v>46092</v>
      </c>
      <c r="C451" s="17"/>
      <c r="D451" s="12" t="e">
        <f>IF(Entradas[[#This Row],[Proveedor (código)]]="","",VLOOKUP(Entradas[[#This Row],[Proveedor (código)]],Proveedores[[#All],[Código]:[Nombre fiscal]],2,FALSE))</f>
        <v>#VALUE!</v>
      </c>
      <c r="E451" s="29" t="s">
        <v>694</v>
      </c>
      <c r="F451" s="49" t="str">
        <f>IF(Salidas[[#This Row],[Artículo (código)]]="","",VLOOKUP(Salidas[[#This Row],[Artículo (código)]],Existencias!A:D,4,FALSE))</f>
        <v>Aceite Vegetal 900 ml</v>
      </c>
      <c r="G451" s="12">
        <v>1</v>
      </c>
      <c r="H451" s="12" t="e">
        <f>IF(Salidas[[#This Row],[Artículo (código)]]="","",VLOOKUP(Salidas[[#This Row],[Artículo (código)]],Existencias!A:F,7,FALSE))</f>
        <v>#REF!</v>
      </c>
    </row>
    <row r="452" spans="1:8" x14ac:dyDescent="0.3">
      <c r="A452" s="12"/>
      <c r="B452" s="13">
        <v>46092</v>
      </c>
      <c r="C452" s="17"/>
      <c r="D452" s="12" t="e">
        <f>IF(Entradas[[#This Row],[Proveedor (código)]]="","",VLOOKUP(Entradas[[#This Row],[Proveedor (código)]],Proveedores[[#All],[Código]:[Nombre fiscal]],2,FALSE))</f>
        <v>#VALUE!</v>
      </c>
      <c r="E452" s="29" t="s">
        <v>949</v>
      </c>
      <c r="F452" s="49" t="str">
        <f>IF(Salidas[[#This Row],[Artículo (código)]]="","",VLOOKUP(Salidas[[#This Row],[Artículo (código)]],Existencias!A:D,4,FALSE))</f>
        <v>GELATINA 160 gr</v>
      </c>
      <c r="G452" s="12">
        <v>3</v>
      </c>
      <c r="H452" s="12" t="e">
        <f>IF(Salidas[[#This Row],[Artículo (código)]]="","",VLOOKUP(Salidas[[#This Row],[Artículo (código)]],Existencias!A:F,7,FALSE))</f>
        <v>#REF!</v>
      </c>
    </row>
    <row r="453" spans="1:8" x14ac:dyDescent="0.3">
      <c r="A453" s="12"/>
      <c r="B453" s="13">
        <v>46093</v>
      </c>
      <c r="C453" s="17"/>
      <c r="D453" s="12" t="e">
        <f>IF(Entradas[[#This Row],[Proveedor (código)]]="","",VLOOKUP(Entradas[[#This Row],[Proveedor (código)]],Proveedores[[#All],[Código]:[Nombre fiscal]],2,FALSE))</f>
        <v>#VALUE!</v>
      </c>
      <c r="E453" s="29" t="s">
        <v>788</v>
      </c>
      <c r="F453" s="49" t="str">
        <f>IF(Salidas[[#This Row],[Artículo (código)]]="","",VLOOKUP(Salidas[[#This Row],[Artículo (código)]],Existencias!A:D,4,FALSE))</f>
        <v>Avena  1 kl</v>
      </c>
      <c r="G453" s="12">
        <v>1</v>
      </c>
      <c r="H453" s="12" t="e">
        <f>IF(Salidas[[#This Row],[Artículo (código)]]="","",VLOOKUP(Salidas[[#This Row],[Artículo (código)]],Existencias!A:F,7,FALSE))</f>
        <v>#REF!</v>
      </c>
    </row>
    <row r="454" spans="1:8" x14ac:dyDescent="0.3">
      <c r="A454" s="12"/>
      <c r="B454" s="13">
        <v>46093</v>
      </c>
      <c r="C454" s="17"/>
      <c r="D454" s="12" t="e">
        <f>IF(Entradas[[#This Row],[Proveedor (código)]]="","",VLOOKUP(Entradas[[#This Row],[Proveedor (código)]],Proveedores[[#All],[Código]:[Nombre fiscal]],2,FALSE))</f>
        <v>#VALUE!</v>
      </c>
      <c r="E454" s="29" t="s">
        <v>989</v>
      </c>
      <c r="F454" s="49" t="str">
        <f>IF(Salidas[[#This Row],[Artículo (código)]]="","",VLOOKUP(Salidas[[#This Row],[Artículo (código)]],Existencias!A:D,4,FALSE))</f>
        <v>Huevo pardo</v>
      </c>
      <c r="G454" s="12">
        <v>18</v>
      </c>
      <c r="H454" s="12" t="e">
        <f>IF(Salidas[[#This Row],[Artículo (código)]]="","",VLOOKUP(Salidas[[#This Row],[Artículo (código)]],Existencias!A:F,7,FALSE))</f>
        <v>#REF!</v>
      </c>
    </row>
    <row r="455" spans="1:8" x14ac:dyDescent="0.3">
      <c r="A455" s="12"/>
      <c r="B455" s="13">
        <v>46093</v>
      </c>
      <c r="C455" s="17"/>
      <c r="D455" s="12" t="e">
        <f>IF(Entradas[[#This Row],[Proveedor (código)]]="","",VLOOKUP(Entradas[[#This Row],[Proveedor (código)]],Proveedores[[#All],[Código]:[Nombre fiscal]],2,FALSE))</f>
        <v>#VALUE!</v>
      </c>
      <c r="E455" s="29" t="s">
        <v>1196</v>
      </c>
      <c r="F455" s="49" t="str">
        <f>IF(Salidas[[#This Row],[Artículo (código)]]="","",VLOOKUP(Salidas[[#This Row],[Artículo (código)]],Existencias!A:D,4,FALSE))</f>
        <v>Lenteja 500 gr</v>
      </c>
      <c r="G455" s="12">
        <v>5</v>
      </c>
      <c r="H455" s="12" t="e">
        <f>IF(Salidas[[#This Row],[Artículo (código)]]="","",VLOOKUP(Salidas[[#This Row],[Artículo (código)]],Existencias!A:F,7,FALSE))</f>
        <v>#REF!</v>
      </c>
    </row>
    <row r="456" spans="1:8" x14ac:dyDescent="0.3">
      <c r="A456" s="12"/>
      <c r="B456" s="13">
        <v>46093</v>
      </c>
      <c r="C456" s="17"/>
      <c r="D456" s="12" t="e">
        <f>IF(Entradas[[#This Row],[Proveedor (código)]]="","",VLOOKUP(Entradas[[#This Row],[Proveedor (código)]],Proveedores[[#All],[Código]:[Nombre fiscal]],2,FALSE))</f>
        <v>#VALUE!</v>
      </c>
      <c r="E456" s="29" t="s">
        <v>799</v>
      </c>
      <c r="F456" s="49" t="str">
        <f>IF(Salidas[[#This Row],[Artículo (código)]]="","",VLOOKUP(Salidas[[#This Row],[Artículo (código)]],Existencias!A:D,4,FALSE))</f>
        <v>Arroz 1 kg</v>
      </c>
      <c r="G456" s="12">
        <v>4</v>
      </c>
      <c r="H456" s="12" t="e">
        <f>IF(Salidas[[#This Row],[Artículo (código)]]="","",VLOOKUP(Salidas[[#This Row],[Artículo (código)]],Existencias!A:F,7,FALSE))</f>
        <v>#REF!</v>
      </c>
    </row>
    <row r="457" spans="1:8" x14ac:dyDescent="0.3">
      <c r="A457" s="12"/>
      <c r="B457" s="13">
        <v>46093</v>
      </c>
      <c r="C457" s="17"/>
      <c r="D457" s="12" t="e">
        <f>IF(Entradas[[#This Row],[Proveedor (código)]]="","",VLOOKUP(Entradas[[#This Row],[Proveedor (código)]],Proveedores[[#All],[Código]:[Nombre fiscal]],2,FALSE))</f>
        <v>#VALUE!</v>
      </c>
      <c r="E457" s="29" t="s">
        <v>1246</v>
      </c>
      <c r="F457" s="49" t="str">
        <f>IF(Salidas[[#This Row],[Artículo (código)]]="","",VLOOKUP(Salidas[[#This Row],[Artículo (código)]],Existencias!A:D,4,FALSE))</f>
        <v>Semola 200 gr</v>
      </c>
      <c r="G457" s="12">
        <v>3</v>
      </c>
      <c r="H457" s="12" t="e">
        <f>IF(Salidas[[#This Row],[Artículo (código)]]="","",VLOOKUP(Salidas[[#This Row],[Artículo (código)]],Existencias!A:F,7,FALSE))</f>
        <v>#REF!</v>
      </c>
    </row>
    <row r="458" spans="1:8" x14ac:dyDescent="0.3">
      <c r="A458" s="12"/>
      <c r="B458" s="13">
        <v>46093</v>
      </c>
      <c r="C458" s="17"/>
      <c r="D458" s="12" t="e">
        <f>IF(Entradas[[#This Row],[Proveedor (código)]]="","",VLOOKUP(Entradas[[#This Row],[Proveedor (código)]],Proveedores[[#All],[Código]:[Nombre fiscal]],2,FALSE))</f>
        <v>#VALUE!</v>
      </c>
      <c r="E458" s="29" t="s">
        <v>694</v>
      </c>
      <c r="F458" s="49" t="str">
        <f>IF(Salidas[[#This Row],[Artículo (código)]]="","",VLOOKUP(Salidas[[#This Row],[Artículo (código)]],Existencias!A:D,4,FALSE))</f>
        <v>Aceite Vegetal 900 ml</v>
      </c>
      <c r="G458" s="12">
        <v>1</v>
      </c>
      <c r="H458" s="12" t="e">
        <f>IF(Salidas[[#This Row],[Artículo (código)]]="","",VLOOKUP(Salidas[[#This Row],[Artículo (código)]],Existencias!A:F,7,FALSE))</f>
        <v>#REF!</v>
      </c>
    </row>
    <row r="459" spans="1:8" x14ac:dyDescent="0.3">
      <c r="A459" s="12"/>
      <c r="B459" s="13">
        <v>46093</v>
      </c>
      <c r="C459" s="17"/>
      <c r="D459" s="12" t="e">
        <f>IF(Entradas[[#This Row],[Proveedor (código)]]="","",VLOOKUP(Entradas[[#This Row],[Proveedor (código)]],Proveedores[[#All],[Código]:[Nombre fiscal]],2,FALSE))</f>
        <v>#VALUE!</v>
      </c>
      <c r="E459" s="29" t="s">
        <v>847</v>
      </c>
      <c r="F459" s="49" t="str">
        <f>IF(Salidas[[#This Row],[Artículo (código)]]="","",VLOOKUP(Salidas[[#This Row],[Artículo (código)]],Existencias!A:D,4,FALSE))</f>
        <v>Salsa de tomate 290 gr</v>
      </c>
      <c r="G459" s="12">
        <v>2</v>
      </c>
      <c r="H459" s="12" t="e">
        <f>IF(Salidas[[#This Row],[Artículo (código)]]="","",VLOOKUP(Salidas[[#This Row],[Artículo (código)]],Existencias!A:F,7,FALSE))</f>
        <v>#REF!</v>
      </c>
    </row>
    <row r="460" spans="1:8" x14ac:dyDescent="0.3">
      <c r="A460" s="12"/>
      <c r="B460" s="13">
        <v>46094</v>
      </c>
      <c r="C460" s="17"/>
      <c r="D460" s="12" t="e">
        <f>IF(Entradas[[#This Row],[Proveedor (código)]]="","",VLOOKUP(Entradas[[#This Row],[Proveedor (código)]],Proveedores[[#All],[Código]:[Nombre fiscal]],2,FALSE))</f>
        <v>#VALUE!</v>
      </c>
      <c r="E460" s="29" t="s">
        <v>788</v>
      </c>
      <c r="F460" s="49" t="str">
        <f>IF(Salidas[[#This Row],[Artículo (código)]]="","",VLOOKUP(Salidas[[#This Row],[Artículo (código)]],Existencias!A:D,4,FALSE))</f>
        <v>Avena  1 kl</v>
      </c>
      <c r="G460" s="12">
        <v>1</v>
      </c>
      <c r="H460" s="12" t="e">
        <f>IF(Salidas[[#This Row],[Artículo (código)]]="","",VLOOKUP(Salidas[[#This Row],[Artículo (código)]],Existencias!A:F,7,FALSE))</f>
        <v>#REF!</v>
      </c>
    </row>
    <row r="461" spans="1:8" x14ac:dyDescent="0.3">
      <c r="A461" s="12"/>
      <c r="B461" s="13">
        <v>46094</v>
      </c>
      <c r="C461" s="17"/>
      <c r="D461" s="12" t="e">
        <f>IF(Entradas[[#This Row],[Proveedor (código)]]="","",VLOOKUP(Entradas[[#This Row],[Proveedor (código)]],Proveedores[[#All],[Código]:[Nombre fiscal]],2,FALSE))</f>
        <v>#VALUE!</v>
      </c>
      <c r="E461" s="29" t="s">
        <v>989</v>
      </c>
      <c r="F461" s="49" t="str">
        <f>IF(Salidas[[#This Row],[Artículo (código)]]="","",VLOOKUP(Salidas[[#This Row],[Artículo (código)]],Existencias!A:D,4,FALSE))</f>
        <v>Huevo pardo</v>
      </c>
      <c r="G461" s="12">
        <v>18</v>
      </c>
      <c r="H461" s="12" t="e">
        <f>IF(Salidas[[#This Row],[Artículo (código)]]="","",VLOOKUP(Salidas[[#This Row],[Artículo (código)]],Existencias!A:F,7,FALSE))</f>
        <v>#REF!</v>
      </c>
    </row>
    <row r="462" spans="1:8" x14ac:dyDescent="0.3">
      <c r="A462" s="12"/>
      <c r="B462" s="13">
        <v>46094</v>
      </c>
      <c r="C462" s="17"/>
      <c r="D462" s="12" t="e">
        <f>IF(Entradas[[#This Row],[Proveedor (código)]]="","",VLOOKUP(Entradas[[#This Row],[Proveedor (código)]],Proveedores[[#All],[Código]:[Nombre fiscal]],2,FALSE))</f>
        <v>#VALUE!</v>
      </c>
      <c r="E462" s="29" t="s">
        <v>799</v>
      </c>
      <c r="F462" s="49" t="str">
        <f>IF(Salidas[[#This Row],[Artículo (código)]]="","",VLOOKUP(Salidas[[#This Row],[Artículo (código)]],Existencias!A:D,4,FALSE))</f>
        <v>Arroz 1 kg</v>
      </c>
      <c r="G462" s="12">
        <v>4</v>
      </c>
      <c r="H462" s="12" t="e">
        <f>IF(Salidas[[#This Row],[Artículo (código)]]="","",VLOOKUP(Salidas[[#This Row],[Artículo (código)]],Existencias!A:F,7,FALSE))</f>
        <v>#REF!</v>
      </c>
    </row>
    <row r="463" spans="1:8" x14ac:dyDescent="0.3">
      <c r="A463" s="12"/>
      <c r="B463" s="13">
        <v>46094</v>
      </c>
      <c r="C463" s="17"/>
      <c r="D463" s="12" t="e">
        <f>IF(Entradas[[#This Row],[Proveedor (código)]]="","",VLOOKUP(Entradas[[#This Row],[Proveedor (código)]],Proveedores[[#All],[Código]:[Nombre fiscal]],2,FALSE))</f>
        <v>#VALUE!</v>
      </c>
      <c r="E463" s="29" t="s">
        <v>1308</v>
      </c>
      <c r="F463" s="49" t="str">
        <f>IF(Salidas[[#This Row],[Artículo (código)]]="","",VLOOKUP(Salidas[[#This Row],[Artículo (código)]],Existencias!A:D,4,FALSE))</f>
        <v>Carne Molida</v>
      </c>
      <c r="G463" s="12">
        <v>8</v>
      </c>
      <c r="H463" s="12" t="e">
        <f>IF(Salidas[[#This Row],[Artículo (código)]]="","",VLOOKUP(Salidas[[#This Row],[Artículo (código)]],Existencias!A:F,7,FALSE))</f>
        <v>#REF!</v>
      </c>
    </row>
    <row r="464" spans="1:8" x14ac:dyDescent="0.3">
      <c r="A464" s="12"/>
      <c r="B464" s="13">
        <v>46094</v>
      </c>
      <c r="C464" s="17"/>
      <c r="D464" s="12" t="e">
        <f>IF(Entradas[[#This Row],[Proveedor (código)]]="","",VLOOKUP(Entradas[[#This Row],[Proveedor (código)]],Proveedores[[#All],[Código]:[Nombre fiscal]],2,FALSE))</f>
        <v>#VALUE!</v>
      </c>
      <c r="E464" s="29" t="s">
        <v>703</v>
      </c>
      <c r="F464" s="49" t="str">
        <f>IF(Salidas[[#This Row],[Artículo (código)]]="","",VLOOKUP(Salidas[[#This Row],[Artículo (código)]],Existencias!A:D,4,FALSE))</f>
        <v>Leche Evaporada  390 gr lata</v>
      </c>
      <c r="G464" s="12">
        <v>7</v>
      </c>
      <c r="H464" s="12" t="e">
        <f>IF(Salidas[[#This Row],[Artículo (código)]]="","",VLOOKUP(Salidas[[#This Row],[Artículo (código)]],Existencias!A:F,7,FALSE))</f>
        <v>#REF!</v>
      </c>
    </row>
    <row r="465" spans="1:8" x14ac:dyDescent="0.3">
      <c r="A465" s="12"/>
      <c r="B465" s="13">
        <v>46094</v>
      </c>
      <c r="C465" s="17"/>
      <c r="D465" s="12" t="e">
        <f>IF(Entradas[[#This Row],[Proveedor (código)]]="","",VLOOKUP(Entradas[[#This Row],[Proveedor (código)]],Proveedores[[#All],[Código]:[Nombre fiscal]],2,FALSE))</f>
        <v>#VALUE!</v>
      </c>
      <c r="E465" s="29" t="s">
        <v>1226</v>
      </c>
      <c r="F465" s="49" t="str">
        <f>IF(Salidas[[#This Row],[Artículo (código)]]="","",VLOOKUP(Salidas[[#This Row],[Artículo (código)]],Existencias!A:D,4,FALSE))</f>
        <v>Quinua 500 gr</v>
      </c>
      <c r="G465" s="12">
        <v>5</v>
      </c>
      <c r="H465" s="12" t="e">
        <f>IF(Salidas[[#This Row],[Artículo (código)]]="","",VLOOKUP(Salidas[[#This Row],[Artículo (código)]],Existencias!A:F,7,FALSE))</f>
        <v>#REF!</v>
      </c>
    </row>
    <row r="466" spans="1:8" x14ac:dyDescent="0.3">
      <c r="A466" s="12"/>
      <c r="B466" s="13">
        <v>46094</v>
      </c>
      <c r="C466" s="17"/>
      <c r="D466" s="12" t="e">
        <f>IF(Entradas[[#This Row],[Proveedor (código)]]="","",VLOOKUP(Entradas[[#This Row],[Proveedor (código)]],Proveedores[[#All],[Código]:[Nombre fiscal]],2,FALSE))</f>
        <v>#VALUE!</v>
      </c>
      <c r="E466" s="29" t="s">
        <v>923</v>
      </c>
      <c r="F466" s="49" t="e">
        <f>IF(Salidas[[#This Row],[Artículo (código)]]="","",VLOOKUP(Salidas[[#This Row],[Artículo (código)]],Existencias!A:D,4,FALSE))</f>
        <v>#N/A</v>
      </c>
      <c r="G466" s="12">
        <v>3</v>
      </c>
      <c r="H466" s="12" t="e">
        <f>IF(Salidas[[#This Row],[Artículo (código)]]="","",VLOOKUP(Salidas[[#This Row],[Artículo (código)]],Existencias!A:F,7,FALSE))</f>
        <v>#N/A</v>
      </c>
    </row>
    <row r="467" spans="1:8" x14ac:dyDescent="0.3">
      <c r="A467" s="12"/>
      <c r="B467" s="13">
        <v>46095</v>
      </c>
      <c r="C467" s="17"/>
      <c r="D467" s="12" t="e">
        <f>IF(Entradas[[#This Row],[Proveedor (código)]]="","",VLOOKUP(Entradas[[#This Row],[Proveedor (código)]],Proveedores[[#All],[Código]:[Nombre fiscal]],2,FALSE))</f>
        <v>#VALUE!</v>
      </c>
      <c r="E467" s="29" t="s">
        <v>788</v>
      </c>
      <c r="F467" s="49" t="str">
        <f>IF(Salidas[[#This Row],[Artículo (código)]]="","",VLOOKUP(Salidas[[#This Row],[Artículo (código)]],Existencias!A:D,4,FALSE))</f>
        <v>Avena  1 kl</v>
      </c>
      <c r="G467" s="12">
        <v>1</v>
      </c>
      <c r="H467" s="12" t="e">
        <f>IF(Salidas[[#This Row],[Artículo (código)]]="","",VLOOKUP(Salidas[[#This Row],[Artículo (código)]],Existencias!A:F,7,FALSE))</f>
        <v>#REF!</v>
      </c>
    </row>
    <row r="468" spans="1:8" x14ac:dyDescent="0.3">
      <c r="A468" s="12"/>
      <c r="B468" s="13">
        <v>46095</v>
      </c>
      <c r="C468" s="17"/>
      <c r="D468" s="12" t="e">
        <f>IF(Entradas[[#This Row],[Proveedor (código)]]="","",VLOOKUP(Entradas[[#This Row],[Proveedor (código)]],Proveedores[[#All],[Código]:[Nombre fiscal]],2,FALSE))</f>
        <v>#VALUE!</v>
      </c>
      <c r="E468" s="29" t="s">
        <v>989</v>
      </c>
      <c r="F468" s="49" t="str">
        <f>IF(Salidas[[#This Row],[Artículo (código)]]="","",VLOOKUP(Salidas[[#This Row],[Artículo (código)]],Existencias!A:D,4,FALSE))</f>
        <v>Huevo pardo</v>
      </c>
      <c r="G468" s="12">
        <v>20</v>
      </c>
      <c r="H468" s="12" t="e">
        <f>IF(Salidas[[#This Row],[Artículo (código)]]="","",VLOOKUP(Salidas[[#This Row],[Artículo (código)]],Existencias!A:F,7,FALSE))</f>
        <v>#REF!</v>
      </c>
    </row>
    <row r="469" spans="1:8" x14ac:dyDescent="0.3">
      <c r="A469" s="12"/>
      <c r="B469" s="13">
        <v>46095</v>
      </c>
      <c r="C469" s="17"/>
      <c r="D469" s="12" t="e">
        <f>IF(Entradas[[#This Row],[Proveedor (código)]]="","",VLOOKUP(Entradas[[#This Row],[Proveedor (código)]],Proveedores[[#All],[Código]:[Nombre fiscal]],2,FALSE))</f>
        <v>#VALUE!</v>
      </c>
      <c r="E469" s="29" t="s">
        <v>799</v>
      </c>
      <c r="F469" s="49" t="str">
        <f>IF(Salidas[[#This Row],[Artículo (código)]]="","",VLOOKUP(Salidas[[#This Row],[Artículo (código)]],Existencias!A:D,4,FALSE))</f>
        <v>Arroz 1 kg</v>
      </c>
      <c r="G469" s="12">
        <v>3</v>
      </c>
      <c r="H469" s="12" t="e">
        <f>IF(Salidas[[#This Row],[Artículo (código)]]="","",VLOOKUP(Salidas[[#This Row],[Artículo (código)]],Existencias!A:F,7,FALSE))</f>
        <v>#REF!</v>
      </c>
    </row>
    <row r="470" spans="1:8" x14ac:dyDescent="0.3">
      <c r="A470" s="12"/>
      <c r="B470" s="13">
        <v>46095</v>
      </c>
      <c r="C470" s="17"/>
      <c r="D470" s="12" t="e">
        <f>IF(Entradas[[#This Row],[Proveedor (código)]]="","",VLOOKUP(Entradas[[#This Row],[Proveedor (código)]],Proveedores[[#All],[Código]:[Nombre fiscal]],2,FALSE))</f>
        <v>#VALUE!</v>
      </c>
      <c r="E470" s="29" t="s">
        <v>723</v>
      </c>
      <c r="F470" s="49" t="str">
        <f>IF(Salidas[[#This Row],[Artículo (código)]]="","",VLOOKUP(Salidas[[#This Row],[Artículo (código)]],Existencias!A:D,4,FALSE))</f>
        <v>Pollo fresco entero</v>
      </c>
      <c r="G470" s="12">
        <v>3</v>
      </c>
      <c r="H470" s="12" t="e">
        <f>IF(Salidas[[#This Row],[Artículo (código)]]="","",VLOOKUP(Salidas[[#This Row],[Artículo (código)]],Existencias!A:F,7,FALSE))</f>
        <v>#REF!</v>
      </c>
    </row>
    <row r="471" spans="1:8" x14ac:dyDescent="0.3">
      <c r="A471" s="12"/>
      <c r="B471" s="13">
        <v>46095</v>
      </c>
      <c r="C471" s="17"/>
      <c r="D471" s="12" t="e">
        <f>IF(Entradas[[#This Row],[Proveedor (código)]]="","",VLOOKUP(Entradas[[#This Row],[Proveedor (código)]],Proveedores[[#All],[Código]:[Nombre fiscal]],2,FALSE))</f>
        <v>#VALUE!</v>
      </c>
      <c r="E471" s="29" t="s">
        <v>694</v>
      </c>
      <c r="F471" s="49" t="str">
        <f>IF(Salidas[[#This Row],[Artículo (código)]]="","",VLOOKUP(Salidas[[#This Row],[Artículo (código)]],Existencias!A:D,4,FALSE))</f>
        <v>Aceite Vegetal 900 ml</v>
      </c>
      <c r="G471" s="12">
        <v>1</v>
      </c>
      <c r="H471" s="12" t="e">
        <f>IF(Salidas[[#This Row],[Artículo (código)]]="","",VLOOKUP(Salidas[[#This Row],[Artículo (código)]],Existencias!A:F,7,FALSE))</f>
        <v>#REF!</v>
      </c>
    </row>
    <row r="472" spans="1:8" x14ac:dyDescent="0.3">
      <c r="A472" s="12"/>
      <c r="B472" s="13">
        <v>46095</v>
      </c>
      <c r="C472" s="17"/>
      <c r="D472" s="12" t="e">
        <f>IF(Entradas[[#This Row],[Proveedor (código)]]="","",VLOOKUP(Entradas[[#This Row],[Proveedor (código)]],Proveedores[[#All],[Código]:[Nombre fiscal]],2,FALSE))</f>
        <v>#VALUE!</v>
      </c>
      <c r="E472" s="29" t="s">
        <v>1208</v>
      </c>
      <c r="F472" s="49" t="str">
        <f>IF(Salidas[[#This Row],[Artículo (código)]]="","",VLOOKUP(Salidas[[#This Row],[Artículo (código)]],Existencias!A:D,4,FALSE))</f>
        <v>Moron 1 kl</v>
      </c>
      <c r="G472" s="12">
        <v>1</v>
      </c>
      <c r="H472" s="12" t="e">
        <f>IF(Salidas[[#This Row],[Artículo (código)]]="","",VLOOKUP(Salidas[[#This Row],[Artículo (código)]],Existencias!A:F,7,FALSE))</f>
        <v>#REF!</v>
      </c>
    </row>
    <row r="473" spans="1:8" x14ac:dyDescent="0.3">
      <c r="A473" s="12"/>
      <c r="B473" s="13">
        <v>46095</v>
      </c>
      <c r="C473" s="17"/>
      <c r="D473" s="12" t="e">
        <f>IF(Entradas[[#This Row],[Proveedor (código)]]="","",VLOOKUP(Entradas[[#This Row],[Proveedor (código)]],Proveedores[[#All],[Código]:[Nombre fiscal]],2,FALSE))</f>
        <v>#VALUE!</v>
      </c>
      <c r="E473" s="29" t="s">
        <v>709</v>
      </c>
      <c r="F473" s="49" t="str">
        <f>IF(Salidas[[#This Row],[Artículo (código)]]="","",VLOOKUP(Salidas[[#This Row],[Artículo (código)]],Existencias!A:D,4,FALSE))</f>
        <v>Sal Mesa 1kg</v>
      </c>
      <c r="G473" s="12">
        <v>1</v>
      </c>
      <c r="H473" s="12" t="e">
        <f>IF(Salidas[[#This Row],[Artículo (código)]]="","",VLOOKUP(Salidas[[#This Row],[Artículo (código)]],Existencias!A:F,7,FALSE))</f>
        <v>#REF!</v>
      </c>
    </row>
    <row r="474" spans="1:8" x14ac:dyDescent="0.3">
      <c r="A474" s="12"/>
      <c r="B474" s="13">
        <v>46096</v>
      </c>
      <c r="C474" s="17"/>
      <c r="D474" s="12" t="e">
        <f>IF(Entradas[[#This Row],[Proveedor (código)]]="","",VLOOKUP(Entradas[[#This Row],[Proveedor (código)]],Proveedores[[#All],[Código]:[Nombre fiscal]],2,FALSE))</f>
        <v>#VALUE!</v>
      </c>
      <c r="E474" s="29" t="s">
        <v>1226</v>
      </c>
      <c r="F474" s="49" t="str">
        <f>IF(Salidas[[#This Row],[Artículo (código)]]="","",VLOOKUP(Salidas[[#This Row],[Artículo (código)]],Existencias!A:D,4,FALSE))</f>
        <v>Quinua 500 gr</v>
      </c>
      <c r="G474" s="12">
        <v>7</v>
      </c>
      <c r="H474" s="12" t="e">
        <f>IF(Salidas[[#This Row],[Artículo (código)]]="","",VLOOKUP(Salidas[[#This Row],[Artículo (código)]],Existencias!A:F,7,FALSE))</f>
        <v>#REF!</v>
      </c>
    </row>
    <row r="475" spans="1:8" x14ac:dyDescent="0.3">
      <c r="A475" s="12"/>
      <c r="B475" s="13">
        <v>46096</v>
      </c>
      <c r="C475" s="17"/>
      <c r="D475" s="12" t="e">
        <f>IF(Entradas[[#This Row],[Proveedor (código)]]="","",VLOOKUP(Entradas[[#This Row],[Proveedor (código)]],Proveedores[[#All],[Código]:[Nombre fiscal]],2,FALSE))</f>
        <v>#VALUE!</v>
      </c>
      <c r="E475" s="29" t="s">
        <v>989</v>
      </c>
      <c r="F475" s="49" t="str">
        <f>IF(Salidas[[#This Row],[Artículo (código)]]="","",VLOOKUP(Salidas[[#This Row],[Artículo (código)]],Existencias!A:D,4,FALSE))</f>
        <v>Huevo pardo</v>
      </c>
      <c r="G475" s="12">
        <v>10</v>
      </c>
      <c r="H475" s="12" t="e">
        <f>IF(Salidas[[#This Row],[Artículo (código)]]="","",VLOOKUP(Salidas[[#This Row],[Artículo (código)]],Existencias!A:F,7,FALSE))</f>
        <v>#REF!</v>
      </c>
    </row>
    <row r="476" spans="1:8" x14ac:dyDescent="0.3">
      <c r="A476" s="12"/>
      <c r="B476" s="13">
        <v>46096</v>
      </c>
      <c r="C476" s="17"/>
      <c r="D476" s="12" t="e">
        <f>IF(Entradas[[#This Row],[Proveedor (código)]]="","",VLOOKUP(Entradas[[#This Row],[Proveedor (código)]],Proveedores[[#All],[Código]:[Nombre fiscal]],2,FALSE))</f>
        <v>#VALUE!</v>
      </c>
      <c r="E476" s="29" t="s">
        <v>799</v>
      </c>
      <c r="F476" s="49" t="str">
        <f>IF(Salidas[[#This Row],[Artículo (código)]]="","",VLOOKUP(Salidas[[#This Row],[Artículo (código)]],Existencias!A:D,4,FALSE))</f>
        <v>Arroz 1 kg</v>
      </c>
      <c r="G476" s="12">
        <v>3</v>
      </c>
      <c r="H476" s="12" t="e">
        <f>IF(Salidas[[#This Row],[Artículo (código)]]="","",VLOOKUP(Salidas[[#This Row],[Artículo (código)]],Existencias!A:F,7,FALSE))</f>
        <v>#REF!</v>
      </c>
    </row>
    <row r="477" spans="1:8" x14ac:dyDescent="0.3">
      <c r="A477" s="12"/>
      <c r="B477" s="13">
        <v>46096</v>
      </c>
      <c r="C477" s="17"/>
      <c r="D477" s="12" t="e">
        <f>IF(Entradas[[#This Row],[Proveedor (código)]]="","",VLOOKUP(Entradas[[#This Row],[Proveedor (código)]],Proveedores[[#All],[Código]:[Nombre fiscal]],2,FALSE))</f>
        <v>#VALUE!</v>
      </c>
      <c r="E477" s="29" t="s">
        <v>723</v>
      </c>
      <c r="F477" s="49" t="str">
        <f>IF(Salidas[[#This Row],[Artículo (código)]]="","",VLOOKUP(Salidas[[#This Row],[Artículo (código)]],Existencias!A:D,4,FALSE))</f>
        <v>Pollo fresco entero</v>
      </c>
      <c r="G477" s="12">
        <v>3</v>
      </c>
      <c r="H477" s="12" t="e">
        <f>IF(Salidas[[#This Row],[Artículo (código)]]="","",VLOOKUP(Salidas[[#This Row],[Artículo (código)]],Existencias!A:F,7,FALSE))</f>
        <v>#REF!</v>
      </c>
    </row>
    <row r="478" spans="1:8" x14ac:dyDescent="0.3">
      <c r="A478" s="12"/>
      <c r="B478" s="13">
        <v>46096</v>
      </c>
      <c r="C478" s="17"/>
      <c r="D478" s="12" t="e">
        <f>IF(Entradas[[#This Row],[Proveedor (código)]]="","",VLOOKUP(Entradas[[#This Row],[Proveedor (código)]],Proveedores[[#All],[Código]:[Nombre fiscal]],2,FALSE))</f>
        <v>#VALUE!</v>
      </c>
      <c r="E478" s="29" t="s">
        <v>989</v>
      </c>
      <c r="F478" s="49" t="str">
        <f>IF(Salidas[[#This Row],[Artículo (código)]]="","",VLOOKUP(Salidas[[#This Row],[Artículo (código)]],Existencias!A:D,4,FALSE))</f>
        <v>Huevo pardo</v>
      </c>
      <c r="G478" s="12">
        <v>20</v>
      </c>
      <c r="H478" s="12" t="e">
        <f>IF(Salidas[[#This Row],[Artículo (código)]]="","",VLOOKUP(Salidas[[#This Row],[Artículo (código)]],Existencias!A:F,7,FALSE))</f>
        <v>#REF!</v>
      </c>
    </row>
    <row r="479" spans="1:8" x14ac:dyDescent="0.3">
      <c r="A479" s="12"/>
      <c r="B479" s="13">
        <v>46097</v>
      </c>
      <c r="C479" s="17"/>
      <c r="D479" s="12" t="e">
        <f>IF(Entradas[[#This Row],[Proveedor (código)]]="","",VLOOKUP(Entradas[[#This Row],[Proveedor (código)]],Proveedores[[#All],[Código]:[Nombre fiscal]],2,FALSE))</f>
        <v>#VALUE!</v>
      </c>
      <c r="E479" s="29" t="s">
        <v>788</v>
      </c>
      <c r="F479" s="49" t="str">
        <f>IF(Salidas[[#This Row],[Artículo (código)]]="","",VLOOKUP(Salidas[[#This Row],[Artículo (código)]],Existencias!A:D,4,FALSE))</f>
        <v>Avena  1 kl</v>
      </c>
      <c r="G479" s="12">
        <v>1</v>
      </c>
      <c r="H479" s="12" t="e">
        <f>IF(Salidas[[#This Row],[Artículo (código)]]="","",VLOOKUP(Salidas[[#This Row],[Artículo (código)]],Existencias!A:F,7,FALSE))</f>
        <v>#REF!</v>
      </c>
    </row>
    <row r="480" spans="1:8" x14ac:dyDescent="0.3">
      <c r="A480" s="12"/>
      <c r="B480" s="13">
        <v>46097</v>
      </c>
      <c r="C480" s="17"/>
      <c r="D480" s="12" t="e">
        <f>IF(Entradas[[#This Row],[Proveedor (código)]]="","",VLOOKUP(Entradas[[#This Row],[Proveedor (código)]],Proveedores[[#All],[Código]:[Nombre fiscal]],2,FALSE))</f>
        <v>#VALUE!</v>
      </c>
      <c r="E480" s="29" t="s">
        <v>1219</v>
      </c>
      <c r="F480" s="49" t="str">
        <f>IF(Salidas[[#This Row],[Artículo (código)]]="","",VLOOKUP(Salidas[[#This Row],[Artículo (código)]],Existencias!A:D,4,FALSE))</f>
        <v>Papa Seca 500 gr</v>
      </c>
      <c r="G480" s="12">
        <v>3</v>
      </c>
      <c r="H480" s="12" t="e">
        <f>IF(Salidas[[#This Row],[Artículo (código)]]="","",VLOOKUP(Salidas[[#This Row],[Artículo (código)]],Existencias!A:F,7,FALSE))</f>
        <v>#REF!</v>
      </c>
    </row>
    <row r="481" spans="1:8" x14ac:dyDescent="0.3">
      <c r="A481" s="12"/>
      <c r="B481" s="13">
        <v>46097</v>
      </c>
      <c r="C481" s="17"/>
      <c r="D481" s="12" t="e">
        <f>IF(Entradas[[#This Row],[Proveedor (código)]]="","",VLOOKUP(Entradas[[#This Row],[Proveedor (código)]],Proveedores[[#All],[Código]:[Nombre fiscal]],2,FALSE))</f>
        <v>#VALUE!</v>
      </c>
      <c r="E481" s="29" t="s">
        <v>774</v>
      </c>
      <c r="F481" s="49" t="str">
        <f>IF(Salidas[[#This Row],[Artículo (código)]]="","",VLOOKUP(Salidas[[#This Row],[Artículo (código)]],Existencias!A:D,4,FALSE))</f>
        <v>Panceta sin hueso</v>
      </c>
      <c r="G481" s="12">
        <v>7</v>
      </c>
      <c r="H481" s="12" t="e">
        <f>IF(Salidas[[#This Row],[Artículo (código)]]="","",VLOOKUP(Salidas[[#This Row],[Artículo (código)]],Existencias!A:F,7,FALSE))</f>
        <v>#REF!</v>
      </c>
    </row>
    <row r="482" spans="1:8" x14ac:dyDescent="0.3">
      <c r="A482" s="12"/>
      <c r="B482" s="13">
        <v>46097</v>
      </c>
      <c r="C482" s="17"/>
      <c r="D482" s="12" t="e">
        <f>IF(Entradas[[#This Row],[Proveedor (código)]]="","",VLOOKUP(Entradas[[#This Row],[Proveedor (código)]],Proveedores[[#All],[Código]:[Nombre fiscal]],2,FALSE))</f>
        <v>#VALUE!</v>
      </c>
      <c r="E482" s="29" t="s">
        <v>723</v>
      </c>
      <c r="F482" s="49" t="str">
        <f>IF(Salidas[[#This Row],[Artículo (código)]]="","",VLOOKUP(Salidas[[#This Row],[Artículo (código)]],Existencias!A:D,4,FALSE))</f>
        <v>Pollo fresco entero</v>
      </c>
      <c r="G482" s="12">
        <v>3</v>
      </c>
      <c r="H482" s="12" t="e">
        <f>IF(Salidas[[#This Row],[Artículo (código)]]="","",VLOOKUP(Salidas[[#This Row],[Artículo (código)]],Existencias!A:F,7,FALSE))</f>
        <v>#REF!</v>
      </c>
    </row>
    <row r="483" spans="1:8" x14ac:dyDescent="0.3">
      <c r="A483" s="12"/>
      <c r="B483" s="13">
        <v>46097</v>
      </c>
      <c r="C483" s="17"/>
      <c r="D483" s="12" t="e">
        <f>IF(Entradas[[#This Row],[Proveedor (código)]]="","",VLOOKUP(Entradas[[#This Row],[Proveedor (código)]],Proveedores[[#All],[Código]:[Nombre fiscal]],2,FALSE))</f>
        <v>#VALUE!</v>
      </c>
      <c r="E483" s="29" t="s">
        <v>799</v>
      </c>
      <c r="F483" s="49" t="str">
        <f>IF(Salidas[[#This Row],[Artículo (código)]]="","",VLOOKUP(Salidas[[#This Row],[Artículo (código)]],Existencias!A:D,4,FALSE))</f>
        <v>Arroz 1 kg</v>
      </c>
      <c r="G483" s="12">
        <v>4</v>
      </c>
      <c r="H483" s="12" t="e">
        <f>IF(Salidas[[#This Row],[Artículo (código)]]="","",VLOOKUP(Salidas[[#This Row],[Artículo (código)]],Existencias!A:F,7,FALSE))</f>
        <v>#REF!</v>
      </c>
    </row>
    <row r="484" spans="1:8" x14ac:dyDescent="0.3">
      <c r="A484" s="12"/>
      <c r="B484" s="13">
        <v>46097</v>
      </c>
      <c r="C484" s="17"/>
      <c r="D484" s="12" t="e">
        <f>IF(Entradas[[#This Row],[Proveedor (código)]]="","",VLOOKUP(Entradas[[#This Row],[Proveedor (código)]],Proveedores[[#All],[Código]:[Nombre fiscal]],2,FALSE))</f>
        <v>#VALUE!</v>
      </c>
      <c r="E484" s="29" t="s">
        <v>694</v>
      </c>
      <c r="F484" s="49" t="str">
        <f>IF(Salidas[[#This Row],[Artículo (código)]]="","",VLOOKUP(Salidas[[#This Row],[Artículo (código)]],Existencias!A:D,4,FALSE))</f>
        <v>Aceite Vegetal 900 ml</v>
      </c>
      <c r="G484" s="12">
        <v>1</v>
      </c>
      <c r="H484" s="12" t="e">
        <f>IF(Salidas[[#This Row],[Artículo (código)]]="","",VLOOKUP(Salidas[[#This Row],[Artículo (código)]],Existencias!A:F,7,FALSE))</f>
        <v>#REF!</v>
      </c>
    </row>
    <row r="485" spans="1:8" x14ac:dyDescent="0.3">
      <c r="A485" s="12"/>
      <c r="B485" s="13"/>
      <c r="C485" s="17"/>
      <c r="D485" s="12" t="e">
        <f>IF(Entradas[[#This Row],[Proveedor (código)]]="","",VLOOKUP(Entradas[[#This Row],[Proveedor (código)]],Proveedores[[#All],[Código]:[Nombre fiscal]],2,FALSE))</f>
        <v>#VALUE!</v>
      </c>
      <c r="E485" s="29"/>
      <c r="F485" s="49" t="str">
        <f>IF(Salidas[[#This Row],[Artículo (código)]]="","",VLOOKUP(Salidas[[#This Row],[Artículo (código)]],Existencias!A:D,4,FALSE))</f>
        <v/>
      </c>
      <c r="G485" s="12"/>
      <c r="H485" s="12" t="str">
        <f>IF(Salidas[[#This Row],[Artículo (código)]]="","",VLOOKUP(Salidas[[#This Row],[Artículo (código)]],Existencias!A:F,7,FALSE))</f>
        <v/>
      </c>
    </row>
    <row r="486" spans="1:8" x14ac:dyDescent="0.3">
      <c r="A486" s="12"/>
      <c r="B486" s="13"/>
      <c r="C486" s="17"/>
      <c r="D486" s="12" t="e">
        <f>IF(Entradas[[#This Row],[Proveedor (código)]]="","",VLOOKUP(Entradas[[#This Row],[Proveedor (código)]],Proveedores[[#All],[Código]:[Nombre fiscal]],2,FALSE))</f>
        <v>#VALUE!</v>
      </c>
      <c r="E486" s="29"/>
      <c r="F486" s="49" t="str">
        <f>IF(Salidas[[#This Row],[Artículo (código)]]="","",VLOOKUP(Salidas[[#This Row],[Artículo (código)]],Existencias!A:D,4,FALSE))</f>
        <v/>
      </c>
      <c r="G486" s="12"/>
      <c r="H486" s="12" t="str">
        <f>IF(Salidas[[#This Row],[Artículo (código)]]="","",VLOOKUP(Salidas[[#This Row],[Artículo (código)]],Existencias!A:F,7,FALSE))</f>
        <v/>
      </c>
    </row>
    <row r="487" spans="1:8" x14ac:dyDescent="0.3">
      <c r="A487" s="12"/>
      <c r="B487" s="13"/>
      <c r="C487" s="17"/>
      <c r="D487" s="12" t="e">
        <f>IF(Entradas[[#This Row],[Proveedor (código)]]="","",VLOOKUP(Entradas[[#This Row],[Proveedor (código)]],Proveedores[[#All],[Código]:[Nombre fiscal]],2,FALSE))</f>
        <v>#VALUE!</v>
      </c>
      <c r="E487" s="29"/>
      <c r="F487" s="49" t="str">
        <f>IF(Salidas[[#This Row],[Artículo (código)]]="","",VLOOKUP(Salidas[[#This Row],[Artículo (código)]],Existencias!A:D,4,FALSE))</f>
        <v/>
      </c>
      <c r="G487" s="12"/>
      <c r="H487" s="12" t="str">
        <f>IF(Salidas[[#This Row],[Artículo (código)]]="","",VLOOKUP(Salidas[[#This Row],[Artículo (código)]],Existencias!A:F,7,FALSE))</f>
        <v/>
      </c>
    </row>
    <row r="488" spans="1:8" x14ac:dyDescent="0.3">
      <c r="A488" s="12"/>
      <c r="B488" s="13"/>
      <c r="C488" s="17"/>
      <c r="D488" s="12" t="e">
        <f>IF(Entradas[[#This Row],[Proveedor (código)]]="","",VLOOKUP(Entradas[[#This Row],[Proveedor (código)]],Proveedores[[#All],[Código]:[Nombre fiscal]],2,FALSE))</f>
        <v>#VALUE!</v>
      </c>
      <c r="E488" s="29"/>
      <c r="F488" s="49" t="str">
        <f>IF(Salidas[[#This Row],[Artículo (código)]]="","",VLOOKUP(Salidas[[#This Row],[Artículo (código)]],Existencias!A:D,4,FALSE))</f>
        <v/>
      </c>
      <c r="G488" s="12"/>
      <c r="H488" s="12" t="str">
        <f>IF(Salidas[[#This Row],[Artículo (código)]]="","",VLOOKUP(Salidas[[#This Row],[Artículo (código)]],Existencias!A:F,7,FALSE))</f>
        <v/>
      </c>
    </row>
    <row r="489" spans="1:8" x14ac:dyDescent="0.3">
      <c r="A489" s="12"/>
      <c r="B489" s="13"/>
      <c r="C489" s="17"/>
      <c r="D489" s="12" t="e">
        <f>IF(Entradas[[#This Row],[Proveedor (código)]]="","",VLOOKUP(Entradas[[#This Row],[Proveedor (código)]],Proveedores[[#All],[Código]:[Nombre fiscal]],2,FALSE))</f>
        <v>#VALUE!</v>
      </c>
      <c r="E489" s="29"/>
      <c r="F489" s="49" t="str">
        <f>IF(Salidas[[#This Row],[Artículo (código)]]="","",VLOOKUP(Salidas[[#This Row],[Artículo (código)]],Existencias!A:D,4,FALSE))</f>
        <v/>
      </c>
      <c r="G489" s="12"/>
      <c r="H489" s="12" t="str">
        <f>IF(Salidas[[#This Row],[Artículo (código)]]="","",VLOOKUP(Salidas[[#This Row],[Artículo (código)]],Existencias!A:F,7,FALSE))</f>
        <v/>
      </c>
    </row>
    <row r="490" spans="1:8" x14ac:dyDescent="0.3">
      <c r="A490" s="12"/>
      <c r="B490" s="13"/>
      <c r="C490" s="17"/>
      <c r="D490" s="12" t="e">
        <f>IF(Entradas[[#This Row],[Proveedor (código)]]="","",VLOOKUP(Entradas[[#This Row],[Proveedor (código)]],Proveedores[[#All],[Código]:[Nombre fiscal]],2,FALSE))</f>
        <v>#VALUE!</v>
      </c>
      <c r="E490" s="29"/>
      <c r="F490" s="49" t="str">
        <f>IF(Salidas[[#This Row],[Artículo (código)]]="","",VLOOKUP(Salidas[[#This Row],[Artículo (código)]],Existencias!A:D,4,FALSE))</f>
        <v/>
      </c>
      <c r="G490" s="12"/>
      <c r="H490" s="12" t="str">
        <f>IF(Salidas[[#This Row],[Artículo (código)]]="","",VLOOKUP(Salidas[[#This Row],[Artículo (código)]],Existencias!A:F,7,FALSE))</f>
        <v/>
      </c>
    </row>
    <row r="491" spans="1:8" x14ac:dyDescent="0.3">
      <c r="A491" s="12"/>
      <c r="B491" s="13"/>
      <c r="C491" s="17"/>
      <c r="D491" s="12" t="e">
        <f>IF(Entradas[[#This Row],[Proveedor (código)]]="","",VLOOKUP(Entradas[[#This Row],[Proveedor (código)]],Proveedores[[#All],[Código]:[Nombre fiscal]],2,FALSE))</f>
        <v>#VALUE!</v>
      </c>
      <c r="E491" s="29"/>
      <c r="F491" s="49" t="str">
        <f>IF(Salidas[[#This Row],[Artículo (código)]]="","",VLOOKUP(Salidas[[#This Row],[Artículo (código)]],Existencias!A:D,4,FALSE))</f>
        <v/>
      </c>
      <c r="G491" s="12"/>
      <c r="H491" s="12" t="str">
        <f>IF(Salidas[[#This Row],[Artículo (código)]]="","",VLOOKUP(Salidas[[#This Row],[Artículo (código)]],Existencias!A:F,7,FALSE))</f>
        <v/>
      </c>
    </row>
    <row r="492" spans="1:8" x14ac:dyDescent="0.3">
      <c r="A492" s="12"/>
      <c r="B492" s="13"/>
      <c r="C492" s="17"/>
      <c r="D492" s="12" t="e">
        <f>IF(Entradas[[#This Row],[Proveedor (código)]]="","",VLOOKUP(Entradas[[#This Row],[Proveedor (código)]],Proveedores[[#All],[Código]:[Nombre fiscal]],2,FALSE))</f>
        <v>#VALUE!</v>
      </c>
      <c r="E492" s="29"/>
      <c r="F492" s="49" t="str">
        <f>IF(Salidas[[#This Row],[Artículo (código)]]="","",VLOOKUP(Salidas[[#This Row],[Artículo (código)]],Existencias!A:D,4,FALSE))</f>
        <v/>
      </c>
      <c r="G492" s="12"/>
      <c r="H492" s="12" t="str">
        <f>IF(Salidas[[#This Row],[Artículo (código)]]="","",VLOOKUP(Salidas[[#This Row],[Artículo (código)]],Existencias!A:F,7,FALSE))</f>
        <v/>
      </c>
    </row>
    <row r="493" spans="1:8" x14ac:dyDescent="0.3">
      <c r="A493" s="12"/>
      <c r="B493" s="13"/>
      <c r="C493" s="17"/>
      <c r="D493" s="12" t="e">
        <f>IF(Entradas[[#This Row],[Proveedor (código)]]="","",VLOOKUP(Entradas[[#This Row],[Proveedor (código)]],Proveedores[[#All],[Código]:[Nombre fiscal]],2,FALSE))</f>
        <v>#VALUE!</v>
      </c>
      <c r="E493" s="29"/>
      <c r="F493" s="49" t="str">
        <f>IF(Salidas[[#This Row],[Artículo (código)]]="","",VLOOKUP(Salidas[[#This Row],[Artículo (código)]],Existencias!A:D,4,FALSE))</f>
        <v/>
      </c>
      <c r="G493" s="12"/>
      <c r="H493" s="12" t="str">
        <f>IF(Salidas[[#This Row],[Artículo (código)]]="","",VLOOKUP(Salidas[[#This Row],[Artículo (código)]],Existencias!A:F,7,FALSE))</f>
        <v/>
      </c>
    </row>
    <row r="494" spans="1:8" x14ac:dyDescent="0.3">
      <c r="A494" s="12"/>
      <c r="B494" s="13"/>
      <c r="C494" s="17"/>
      <c r="D494" s="12" t="e">
        <f>IF(Entradas[[#This Row],[Proveedor (código)]]="","",VLOOKUP(Entradas[[#This Row],[Proveedor (código)]],Proveedores[[#All],[Código]:[Nombre fiscal]],2,FALSE))</f>
        <v>#VALUE!</v>
      </c>
      <c r="E494" s="29"/>
      <c r="F494" s="49" t="str">
        <f>IF(Salidas[[#This Row],[Artículo (código)]]="","",VLOOKUP(Salidas[[#This Row],[Artículo (código)]],Existencias!A:D,4,FALSE))</f>
        <v/>
      </c>
      <c r="G494" s="12"/>
      <c r="H494" s="12" t="str">
        <f>IF(Salidas[[#This Row],[Artículo (código)]]="","",VLOOKUP(Salidas[[#This Row],[Artículo (código)]],Existencias!A:F,7,FALSE))</f>
        <v/>
      </c>
    </row>
    <row r="495" spans="1:8" x14ac:dyDescent="0.3">
      <c r="A495" s="12"/>
      <c r="B495" s="13"/>
      <c r="C495" s="17"/>
      <c r="D495" s="12" t="e">
        <f>IF(Entradas[[#This Row],[Proveedor (código)]]="","",VLOOKUP(Entradas[[#This Row],[Proveedor (código)]],Proveedores[[#All],[Código]:[Nombre fiscal]],2,FALSE))</f>
        <v>#VALUE!</v>
      </c>
      <c r="E495" s="29"/>
      <c r="F495" s="49" t="str">
        <f>IF(Salidas[[#This Row],[Artículo (código)]]="","",VLOOKUP(Salidas[[#This Row],[Artículo (código)]],Existencias!A:D,4,FALSE))</f>
        <v/>
      </c>
      <c r="G495" s="12"/>
      <c r="H495" s="12" t="str">
        <f>IF(Salidas[[#This Row],[Artículo (código)]]="","",VLOOKUP(Salidas[[#This Row],[Artículo (código)]],Existencias!A:F,7,FALSE))</f>
        <v/>
      </c>
    </row>
    <row r="496" spans="1:8" x14ac:dyDescent="0.3">
      <c r="A496" s="12"/>
      <c r="B496" s="13"/>
      <c r="C496" s="17"/>
      <c r="D496" s="12" t="e">
        <f>IF(Entradas[[#This Row],[Proveedor (código)]]="","",VLOOKUP(Entradas[[#This Row],[Proveedor (código)]],Proveedores[[#All],[Código]:[Nombre fiscal]],2,FALSE))</f>
        <v>#VALUE!</v>
      </c>
      <c r="E496" s="29"/>
      <c r="F496" s="49" t="str">
        <f>IF(Salidas[[#This Row],[Artículo (código)]]="","",VLOOKUP(Salidas[[#This Row],[Artículo (código)]],Existencias!A:D,4,FALSE))</f>
        <v/>
      </c>
      <c r="G496" s="12"/>
      <c r="H496" s="12" t="str">
        <f>IF(Salidas[[#This Row],[Artículo (código)]]="","",VLOOKUP(Salidas[[#This Row],[Artículo (código)]],Existencias!A:F,7,FALSE))</f>
        <v/>
      </c>
    </row>
    <row r="497" spans="1:8" x14ac:dyDescent="0.3">
      <c r="A497" s="12"/>
      <c r="B497" s="13"/>
      <c r="C497" s="17"/>
      <c r="D497" s="12" t="e">
        <f>IF(Entradas[[#This Row],[Proveedor (código)]]="","",VLOOKUP(Entradas[[#This Row],[Proveedor (código)]],Proveedores[[#All],[Código]:[Nombre fiscal]],2,FALSE))</f>
        <v>#VALUE!</v>
      </c>
      <c r="E497" s="29"/>
      <c r="F497" s="49" t="str">
        <f>IF(Salidas[[#This Row],[Artículo (código)]]="","",VLOOKUP(Salidas[[#This Row],[Artículo (código)]],Existencias!A:D,4,FALSE))</f>
        <v/>
      </c>
      <c r="G497" s="12"/>
      <c r="H497" s="12" t="str">
        <f>IF(Salidas[[#This Row],[Artículo (código)]]="","",VLOOKUP(Salidas[[#This Row],[Artículo (código)]],Existencias!A:F,7,FALSE))</f>
        <v/>
      </c>
    </row>
    <row r="498" spans="1:8" x14ac:dyDescent="0.3">
      <c r="A498" s="12"/>
      <c r="B498" s="13"/>
      <c r="C498" s="17"/>
      <c r="D498" s="12" t="e">
        <f>IF(Entradas[[#This Row],[Proveedor (código)]]="","",VLOOKUP(Entradas[[#This Row],[Proveedor (código)]],Proveedores[[#All],[Código]:[Nombre fiscal]],2,FALSE))</f>
        <v>#VALUE!</v>
      </c>
      <c r="E498" s="29"/>
      <c r="F498" s="49" t="str">
        <f>IF(Salidas[[#This Row],[Artículo (código)]]="","",VLOOKUP(Salidas[[#This Row],[Artículo (código)]],Existencias!A:D,4,FALSE))</f>
        <v/>
      </c>
      <c r="G498" s="12"/>
      <c r="H498" s="12" t="str">
        <f>IF(Salidas[[#This Row],[Artículo (código)]]="","",VLOOKUP(Salidas[[#This Row],[Artículo (código)]],Existencias!A:F,7,FALSE))</f>
        <v/>
      </c>
    </row>
    <row r="499" spans="1:8" x14ac:dyDescent="0.3">
      <c r="A499" s="12"/>
      <c r="B499" s="13"/>
      <c r="C499" s="17"/>
      <c r="D499" s="12" t="e">
        <f>IF(Entradas[[#This Row],[Proveedor (código)]]="","",VLOOKUP(Entradas[[#This Row],[Proveedor (código)]],Proveedores[[#All],[Código]:[Nombre fiscal]],2,FALSE))</f>
        <v>#VALUE!</v>
      </c>
      <c r="E499" s="29"/>
      <c r="F499" s="49" t="str">
        <f>IF(Salidas[[#This Row],[Artículo (código)]]="","",VLOOKUP(Salidas[[#This Row],[Artículo (código)]],Existencias!A:D,4,FALSE))</f>
        <v/>
      </c>
      <c r="G499" s="12"/>
      <c r="H499" s="12" t="str">
        <f>IF(Salidas[[#This Row],[Artículo (código)]]="","",VLOOKUP(Salidas[[#This Row],[Artículo (código)]],Existencias!A:F,7,FALSE))</f>
        <v/>
      </c>
    </row>
    <row r="500" spans="1:8" x14ac:dyDescent="0.3">
      <c r="A500" s="12"/>
      <c r="B500" s="13"/>
      <c r="C500" s="17"/>
      <c r="D500" s="12" t="e">
        <f>IF(Entradas[[#This Row],[Proveedor (código)]]="","",VLOOKUP(Entradas[[#This Row],[Proveedor (código)]],Proveedores[[#All],[Código]:[Nombre fiscal]],2,FALSE))</f>
        <v>#VALUE!</v>
      </c>
      <c r="E500" s="29"/>
      <c r="F500" s="49" t="str">
        <f>IF(Salidas[[#This Row],[Artículo (código)]]="","",VLOOKUP(Salidas[[#This Row],[Artículo (código)]],Existencias!A:D,4,FALSE))</f>
        <v/>
      </c>
      <c r="G500" s="12"/>
      <c r="H500" s="12" t="str">
        <f>IF(Salidas[[#This Row],[Artículo (código)]]="","",VLOOKUP(Salidas[[#This Row],[Artículo (código)]],Existencias!A:F,7,FALSE))</f>
        <v/>
      </c>
    </row>
    <row r="501" spans="1:8" x14ac:dyDescent="0.3">
      <c r="A501" s="12"/>
      <c r="B501" s="13"/>
      <c r="C501" s="17"/>
      <c r="D501" s="12" t="e">
        <f>IF(Entradas[[#This Row],[Proveedor (código)]]="","",VLOOKUP(Entradas[[#This Row],[Proveedor (código)]],Proveedores[[#All],[Código]:[Nombre fiscal]],2,FALSE))</f>
        <v>#VALUE!</v>
      </c>
      <c r="E501" s="29"/>
      <c r="F501" s="49" t="str">
        <f>IF(Salidas[[#This Row],[Artículo (código)]]="","",VLOOKUP(Salidas[[#This Row],[Artículo (código)]],Existencias!A:D,4,FALSE))</f>
        <v/>
      </c>
      <c r="G501" s="12"/>
      <c r="H501" s="12" t="str">
        <f>IF(Salidas[[#This Row],[Artículo (código)]]="","",VLOOKUP(Salidas[[#This Row],[Artículo (código)]],Existencias!A:F,7,FALSE))</f>
        <v/>
      </c>
    </row>
    <row r="502" spans="1:8" x14ac:dyDescent="0.3">
      <c r="A502" s="12"/>
      <c r="B502" s="13"/>
      <c r="C502" s="17"/>
      <c r="D502" s="12" t="e">
        <f>IF(Entradas[[#This Row],[Proveedor (código)]]="","",VLOOKUP(Entradas[[#This Row],[Proveedor (código)]],Proveedores[[#All],[Código]:[Nombre fiscal]],2,FALSE))</f>
        <v>#VALUE!</v>
      </c>
      <c r="E502" s="29"/>
      <c r="F502" s="49" t="str">
        <f>IF(Salidas[[#This Row],[Artículo (código)]]="","",VLOOKUP(Salidas[[#This Row],[Artículo (código)]],Existencias!A:D,4,FALSE))</f>
        <v/>
      </c>
      <c r="G502" s="12"/>
      <c r="H502" s="12" t="str">
        <f>IF(Salidas[[#This Row],[Artículo (código)]]="","",VLOOKUP(Salidas[[#This Row],[Artículo (código)]],Existencias!A:F,7,FALSE))</f>
        <v/>
      </c>
    </row>
    <row r="503" spans="1:8" x14ac:dyDescent="0.3">
      <c r="A503" s="12"/>
      <c r="B503" s="13"/>
      <c r="C503" s="17"/>
      <c r="D503" s="12" t="e">
        <f>IF(Entradas[[#This Row],[Proveedor (código)]]="","",VLOOKUP(Entradas[[#This Row],[Proveedor (código)]],Proveedores[[#All],[Código]:[Nombre fiscal]],2,FALSE))</f>
        <v>#VALUE!</v>
      </c>
      <c r="E503" s="29"/>
      <c r="F503" s="49" t="str">
        <f>IF(Salidas[[#This Row],[Artículo (código)]]="","",VLOOKUP(Salidas[[#This Row],[Artículo (código)]],Existencias!A:D,4,FALSE))</f>
        <v/>
      </c>
      <c r="G503" s="12"/>
      <c r="H503" s="12" t="str">
        <f>IF(Salidas[[#This Row],[Artículo (código)]]="","",VLOOKUP(Salidas[[#This Row],[Artículo (código)]],Existencias!A:F,7,FALSE))</f>
        <v/>
      </c>
    </row>
    <row r="504" spans="1:8" x14ac:dyDescent="0.3">
      <c r="A504" s="12"/>
      <c r="B504" s="13"/>
      <c r="C504" s="17"/>
      <c r="D504" s="12" t="e">
        <f>IF(Entradas[[#This Row],[Proveedor (código)]]="","",VLOOKUP(Entradas[[#This Row],[Proveedor (código)]],Proveedores[[#All],[Código]:[Nombre fiscal]],2,FALSE))</f>
        <v>#VALUE!</v>
      </c>
      <c r="E504" s="29"/>
      <c r="F504" s="49" t="str">
        <f>IF(Salidas[[#This Row],[Artículo (código)]]="","",VLOOKUP(Salidas[[#This Row],[Artículo (código)]],Existencias!A:D,4,FALSE))</f>
        <v/>
      </c>
      <c r="G504" s="12"/>
      <c r="H504" s="12" t="str">
        <f>IF(Salidas[[#This Row],[Artículo (código)]]="","",VLOOKUP(Salidas[[#This Row],[Artículo (código)]],Existencias!A:F,7,FALSE))</f>
        <v/>
      </c>
    </row>
    <row r="505" spans="1:8" x14ac:dyDescent="0.3">
      <c r="A505" s="12"/>
      <c r="B505" s="13"/>
      <c r="C505" s="17"/>
      <c r="D505" s="12" t="e">
        <f>IF(Entradas[[#This Row],[Proveedor (código)]]="","",VLOOKUP(Entradas[[#This Row],[Proveedor (código)]],Proveedores[[#All],[Código]:[Nombre fiscal]],2,FALSE))</f>
        <v>#VALUE!</v>
      </c>
      <c r="E505" s="29"/>
      <c r="F505" s="49" t="str">
        <f>IF(Salidas[[#This Row],[Artículo (código)]]="","",VLOOKUP(Salidas[[#This Row],[Artículo (código)]],Existencias!A:D,4,FALSE))</f>
        <v/>
      </c>
      <c r="G505" s="12"/>
      <c r="H505" s="12" t="str">
        <f>IF(Salidas[[#This Row],[Artículo (código)]]="","",VLOOKUP(Salidas[[#This Row],[Artículo (código)]],Existencias!A:F,7,FALSE))</f>
        <v/>
      </c>
    </row>
    <row r="506" spans="1:8" x14ac:dyDescent="0.3">
      <c r="A506" s="12"/>
      <c r="B506" s="13"/>
      <c r="C506" s="17"/>
      <c r="D506" s="12" t="e">
        <f>IF(Entradas[[#This Row],[Proveedor (código)]]="","",VLOOKUP(Entradas[[#This Row],[Proveedor (código)]],Proveedores[[#All],[Código]:[Nombre fiscal]],2,FALSE))</f>
        <v>#VALUE!</v>
      </c>
      <c r="E506" s="29"/>
      <c r="F506" s="49" t="str">
        <f>IF(Salidas[[#This Row],[Artículo (código)]]="","",VLOOKUP(Salidas[[#This Row],[Artículo (código)]],Existencias!A:D,4,FALSE))</f>
        <v/>
      </c>
      <c r="G506" s="12"/>
      <c r="H506" s="12" t="str">
        <f>IF(Salidas[[#This Row],[Artículo (código)]]="","",VLOOKUP(Salidas[[#This Row],[Artículo (código)]],Existencias!A:F,7,FALSE))</f>
        <v/>
      </c>
    </row>
    <row r="507" spans="1:8" x14ac:dyDescent="0.3">
      <c r="A507" s="12"/>
      <c r="B507" s="13"/>
      <c r="C507" s="17"/>
      <c r="D507" s="12" t="e">
        <f>IF(Entradas[[#This Row],[Proveedor (código)]]="","",VLOOKUP(Entradas[[#This Row],[Proveedor (código)]],Proveedores[[#All],[Código]:[Nombre fiscal]],2,FALSE))</f>
        <v>#VALUE!</v>
      </c>
      <c r="E507" s="29"/>
      <c r="F507" s="49" t="str">
        <f>IF(Salidas[[#This Row],[Artículo (código)]]="","",VLOOKUP(Salidas[[#This Row],[Artículo (código)]],Existencias!A:D,4,FALSE))</f>
        <v/>
      </c>
      <c r="G507" s="12"/>
      <c r="H507" s="12" t="str">
        <f>IF(Salidas[[#This Row],[Artículo (código)]]="","",VLOOKUP(Salidas[[#This Row],[Artículo (código)]],Existencias!A:F,7,FALSE))</f>
        <v/>
      </c>
    </row>
    <row r="508" spans="1:8" x14ac:dyDescent="0.3">
      <c r="A508" s="12"/>
      <c r="B508" s="13"/>
      <c r="C508" s="17"/>
      <c r="D508" s="12" t="e">
        <f>IF(Entradas[[#This Row],[Proveedor (código)]]="","",VLOOKUP(Entradas[[#This Row],[Proveedor (código)]],Proveedores[[#All],[Código]:[Nombre fiscal]],2,FALSE))</f>
        <v>#VALUE!</v>
      </c>
      <c r="E508" s="29"/>
      <c r="F508" s="49" t="str">
        <f>IF(Salidas[[#This Row],[Artículo (código)]]="","",VLOOKUP(Salidas[[#This Row],[Artículo (código)]],Existencias!A:D,4,FALSE))</f>
        <v/>
      </c>
      <c r="G508" s="12"/>
      <c r="H508" s="12" t="str">
        <f>IF(Salidas[[#This Row],[Artículo (código)]]="","",VLOOKUP(Salidas[[#This Row],[Artículo (código)]],Existencias!A:F,7,FALSE))</f>
        <v/>
      </c>
    </row>
    <row r="509" spans="1:8" x14ac:dyDescent="0.3">
      <c r="A509" s="12"/>
      <c r="B509" s="13"/>
      <c r="C509" s="17"/>
      <c r="D509" s="12" t="e">
        <f>IF(Entradas[[#This Row],[Proveedor (código)]]="","",VLOOKUP(Entradas[[#This Row],[Proveedor (código)]],Proveedores[[#All],[Código]:[Nombre fiscal]],2,FALSE))</f>
        <v>#VALUE!</v>
      </c>
      <c r="E509" s="29"/>
      <c r="F509" s="49" t="str">
        <f>IF(Salidas[[#This Row],[Artículo (código)]]="","",VLOOKUP(Salidas[[#This Row],[Artículo (código)]],Existencias!A:D,4,FALSE))</f>
        <v/>
      </c>
      <c r="G509" s="12"/>
      <c r="H509" s="12" t="str">
        <f>IF(Salidas[[#This Row],[Artículo (código)]]="","",VLOOKUP(Salidas[[#This Row],[Artículo (código)]],Existencias!A:F,7,FALSE))</f>
        <v/>
      </c>
    </row>
    <row r="510" spans="1:8" x14ac:dyDescent="0.3">
      <c r="A510" s="12"/>
      <c r="B510" s="13"/>
      <c r="C510" s="17"/>
      <c r="D510" s="12" t="e">
        <f>IF(Entradas[[#This Row],[Proveedor (código)]]="","",VLOOKUP(Entradas[[#This Row],[Proveedor (código)]],Proveedores[[#All],[Código]:[Nombre fiscal]],2,FALSE))</f>
        <v>#VALUE!</v>
      </c>
      <c r="E510" s="29"/>
      <c r="F510" s="49" t="str">
        <f>IF(Salidas[[#This Row],[Artículo (código)]]="","",VLOOKUP(Salidas[[#This Row],[Artículo (código)]],Existencias!A:D,4,FALSE))</f>
        <v/>
      </c>
      <c r="G510" s="12"/>
      <c r="H510" s="12" t="str">
        <f>IF(Salidas[[#This Row],[Artículo (código)]]="","",VLOOKUP(Salidas[[#This Row],[Artículo (código)]],Existencias!A:F,7,FALSE))</f>
        <v/>
      </c>
    </row>
    <row r="511" spans="1:8" x14ac:dyDescent="0.3">
      <c r="A511" s="12"/>
      <c r="B511" s="12"/>
      <c r="C511" s="17"/>
      <c r="D511" s="12"/>
      <c r="E511" s="12"/>
      <c r="F511" s="49" t="str">
        <f>IF(Salidas[[#This Row],[Artículo (código)]]="","",VLOOKUP(Salidas[[#This Row],[Artículo (código)]],Existencias!A:D,4,FALSE))</f>
        <v/>
      </c>
      <c r="G511" s="12"/>
      <c r="H511" s="12" t="str">
        <f>IF(Salidas[[#This Row],[Artículo (código)]]="","",VLOOKUP(Salidas[[#This Row],[Artículo (código)]],Existencias!A:F,7,FALSE))</f>
        <v/>
      </c>
    </row>
    <row r="512" spans="1:8" x14ac:dyDescent="0.3">
      <c r="A512" s="12"/>
      <c r="B512" s="12"/>
      <c r="C512" s="12"/>
      <c r="D512" s="12" t="e">
        <f>IF(Entradas[[#This Row],[Proveedor (código)]]="","",VLOOKUP(Entradas[[#This Row],[Proveedor (código)]],Proveedores[[#All],[Código]:[Nombre fiscal]],2,FALSE))</f>
        <v>#VALUE!</v>
      </c>
      <c r="E512" s="12"/>
      <c r="F512" s="49" t="str">
        <f>IF(Salidas[[#This Row],[Artículo (código)]]="","",VLOOKUP(Salidas[[#This Row],[Artículo (código)]],Existencias!A:D,4,FALSE))</f>
        <v/>
      </c>
      <c r="G512" s="12"/>
      <c r="H512" s="12" t="str">
        <f>IF(Salidas[[#This Row],[Artículo (código)]]="","",VLOOKUP(Salidas[[#This Row],[Artículo (código)]],Existencias!A:F,7,FALSE))</f>
        <v/>
      </c>
    </row>
    <row r="513" spans="1:8" x14ac:dyDescent="0.3">
      <c r="A513" s="12" t="s">
        <v>85</v>
      </c>
      <c r="B513" s="12"/>
      <c r="C513" s="12"/>
      <c r="D513" s="12"/>
      <c r="E513" s="12"/>
      <c r="F513" s="49"/>
      <c r="G513" s="12">
        <f>SUBTOTAL(109,Salidas[Cantidad])</f>
        <v>2436.85</v>
      </c>
      <c r="H513" s="12" t="e">
        <f>SUBTOTAL(109,Salidas[Precio])</f>
        <v>#REF!</v>
      </c>
    </row>
  </sheetData>
  <dataConsolidate/>
  <mergeCells count="1">
    <mergeCell ref="A1:XFD1"/>
  </mergeCells>
  <phoneticPr fontId="4" type="noConversion"/>
  <pageMargins left="0.7" right="0.7" top="0.75" bottom="0.75" header="0.3" footer="0.3"/>
  <ignoredErrors>
    <ignoredError sqref="D3:D40" evalError="1"/>
  </ignoredErrors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D18E15-DAA4-437D-8F01-C77665E0EC6F}">
          <x14:formula1>
            <xm:f>Existencias!$A:$A</xm:f>
          </x14:formula1>
          <xm:sqref>E3:E347 F438 E349:E437 E439:E512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F9BFE-E57A-4598-AD15-AA77AAC46CA0}">
  <dimension ref="A1:K3"/>
  <sheetViews>
    <sheetView tabSelected="1" workbookViewId="0">
      <pane ySplit="1" topLeftCell="A2" activePane="bottomLeft" state="frozen"/>
      <selection pane="bottomLeft" activeCell="H19" sqref="H19"/>
    </sheetView>
  </sheetViews>
  <sheetFormatPr baseColWidth="10" defaultColWidth="16.6640625" defaultRowHeight="14.4" x14ac:dyDescent="0.3"/>
  <cols>
    <col min="1" max="1" width="9.44140625" bestFit="1" customWidth="1"/>
    <col min="2" max="2" width="15.5546875" bestFit="1" customWidth="1"/>
    <col min="3" max="3" width="10.5546875" bestFit="1" customWidth="1"/>
    <col min="4" max="4" width="11.6640625" bestFit="1" customWidth="1"/>
    <col min="5" max="5" width="9.88671875" bestFit="1" customWidth="1"/>
    <col min="6" max="6" width="11.33203125" bestFit="1" customWidth="1"/>
    <col min="7" max="7" width="8.88671875" bestFit="1" customWidth="1"/>
    <col min="8" max="8" width="11.5546875" bestFit="1" customWidth="1"/>
    <col min="9" max="9" width="12" bestFit="1" customWidth="1"/>
    <col min="10" max="10" width="11.44140625" bestFit="1" customWidth="1"/>
    <col min="11" max="11" width="15.33203125" bestFit="1" customWidth="1"/>
  </cols>
  <sheetData>
    <row r="1" spans="1:11" s="64" customFormat="1" ht="75.599999999999994" customHeight="1" x14ac:dyDescent="0.3">
      <c r="A1" s="63"/>
    </row>
    <row r="2" spans="1:11" s="10" customFormat="1" x14ac:dyDescent="0.3">
      <c r="A2" s="10" t="s">
        <v>0</v>
      </c>
      <c r="B2" s="10" t="s">
        <v>10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8</v>
      </c>
      <c r="J2" s="10" t="s">
        <v>9</v>
      </c>
      <c r="K2" s="10" t="s">
        <v>7</v>
      </c>
    </row>
    <row r="3" spans="1:11" s="9" customFormat="1" x14ac:dyDescent="0.3">
      <c r="A3" s="11">
        <v>1</v>
      </c>
      <c r="B3" s="22" t="s">
        <v>692</v>
      </c>
      <c r="C3" s="11" t="s">
        <v>692</v>
      </c>
      <c r="D3" s="11" t="s">
        <v>24</v>
      </c>
      <c r="E3" s="11" t="s">
        <v>25</v>
      </c>
      <c r="F3" s="11">
        <v>999999999</v>
      </c>
      <c r="G3" s="23" t="s">
        <v>26</v>
      </c>
      <c r="H3" s="11" t="s">
        <v>27</v>
      </c>
      <c r="I3" s="11" t="s">
        <v>24</v>
      </c>
      <c r="J3" s="11" t="s">
        <v>28</v>
      </c>
      <c r="K3" s="11">
        <v>99999</v>
      </c>
    </row>
  </sheetData>
  <mergeCells count="1">
    <mergeCell ref="A1:XFD1"/>
  </mergeCells>
  <hyperlinks>
    <hyperlink ref="G3" r:id="rId1" xr:uid="{1138745D-0028-4DCA-8DE7-311C6DA2FDC8}"/>
  </hyperlinks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178EA3-ABAB-46AF-A158-4DD947A97E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Existencias</vt:lpstr>
      <vt:lpstr>Hoja2</vt:lpstr>
      <vt:lpstr>Proveedores</vt:lpstr>
      <vt:lpstr>Entradas</vt:lpstr>
      <vt:lpstr>Salidas</vt:lpstr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Banega</dc:creator>
  <cp:lastModifiedBy>u202126097 (Reyna Alvarado, Gabriel Alonso)</cp:lastModifiedBy>
  <dcterms:created xsi:type="dcterms:W3CDTF">2024-11-11T10:02:44Z</dcterms:created>
  <dcterms:modified xsi:type="dcterms:W3CDTF">2026-05-13T19:42:19Z</dcterms:modified>
</cp:coreProperties>
</file>